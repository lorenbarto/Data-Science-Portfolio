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ren\Documents\Personal\Crypto\"/>
    </mc:Choice>
  </mc:AlternateContent>
  <xr:revisionPtr revIDLastSave="0" documentId="13_ncr:1_{025D4C89-54DD-44B7-8210-1404B2444264}" xr6:coauthVersionLast="40" xr6:coauthVersionMax="40" xr10:uidLastSave="{00000000-0000-0000-0000-000000000000}"/>
  <bookViews>
    <workbookView xWindow="0" yWindow="0" windowWidth="23040" windowHeight="9047" xr2:uid="{7130CF1D-B94A-4E88-B99B-74FB81683EA1}"/>
  </bookViews>
  <sheets>
    <sheet name="DASHBOARD" sheetId="8" r:id="rId1"/>
    <sheet name="PORTFOLIO" sheetId="2" r:id="rId2"/>
    <sheet name="ASSET MANAGEMENT" sheetId="6" r:id="rId3"/>
    <sheet name="PROFIT &amp; LOSS" sheetId="7" r:id="rId4"/>
    <sheet name="TRANSACTION HISTORY" sheetId="5" r:id="rId5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6" l="1"/>
  <c r="E6" i="6"/>
  <c r="F6" i="6"/>
  <c r="C6" i="6"/>
  <c r="B6" i="6"/>
  <c r="D11" i="2"/>
  <c r="C11" i="2"/>
  <c r="B11" i="2"/>
  <c r="D10" i="2"/>
  <c r="C10" i="2"/>
  <c r="B10" i="2"/>
  <c r="O1" i="8" l="1"/>
  <c r="O2" i="8"/>
  <c r="G14" i="8"/>
  <c r="G13" i="8"/>
  <c r="G12" i="8"/>
  <c r="F6" i="8"/>
  <c r="J22" i="7" l="1"/>
  <c r="K22" i="7"/>
  <c r="L22" i="7"/>
  <c r="M22" i="7"/>
  <c r="I22" i="7"/>
  <c r="J21" i="7"/>
  <c r="K21" i="7"/>
  <c r="L21" i="7"/>
  <c r="M21" i="7"/>
  <c r="I21" i="7"/>
  <c r="J20" i="7"/>
  <c r="K20" i="7"/>
  <c r="L20" i="7"/>
  <c r="M20" i="7"/>
  <c r="I20" i="7"/>
  <c r="B1" i="7"/>
  <c r="B1" i="6"/>
  <c r="F16" i="7"/>
  <c r="E16" i="7"/>
  <c r="D16" i="7"/>
  <c r="C16" i="7"/>
  <c r="B16" i="7"/>
  <c r="M13" i="7"/>
  <c r="L13" i="7"/>
  <c r="K13" i="7"/>
  <c r="J13" i="7"/>
  <c r="I13" i="7"/>
  <c r="M10" i="7"/>
  <c r="L10" i="7"/>
  <c r="K10" i="7"/>
  <c r="J10" i="7"/>
  <c r="I10" i="7"/>
  <c r="M7" i="7"/>
  <c r="L7" i="7"/>
  <c r="K7" i="7"/>
  <c r="J7" i="7"/>
  <c r="I7" i="7"/>
  <c r="F1" i="6" l="1"/>
  <c r="J20" i="6"/>
  <c r="K20" i="6"/>
  <c r="K21" i="6" s="1"/>
  <c r="K22" i="6" s="1"/>
  <c r="L20" i="6"/>
  <c r="L21" i="6" s="1"/>
  <c r="L22" i="6" s="1"/>
  <c r="M20" i="6"/>
  <c r="I8" i="6"/>
  <c r="I20" i="6"/>
  <c r="I21" i="6" s="1"/>
  <c r="I22" i="6" s="1"/>
  <c r="J14" i="6"/>
  <c r="J15" i="6" s="1"/>
  <c r="J16" i="6" s="1"/>
  <c r="K14" i="6"/>
  <c r="L14" i="6"/>
  <c r="L15" i="6" s="1"/>
  <c r="L16" i="6" s="1"/>
  <c r="M14" i="6"/>
  <c r="I14" i="6"/>
  <c r="I15" i="6" s="1"/>
  <c r="I16" i="6" s="1"/>
  <c r="J8" i="6"/>
  <c r="J9" i="6" s="1"/>
  <c r="K8" i="6"/>
  <c r="L8" i="6"/>
  <c r="L9" i="6" s="1"/>
  <c r="M8" i="6"/>
  <c r="M9" i="6" s="1"/>
  <c r="F7" i="6"/>
  <c r="E7" i="6"/>
  <c r="D7" i="6"/>
  <c r="C7" i="6"/>
  <c r="B7" i="6"/>
  <c r="J21" i="6" l="1"/>
  <c r="J22" i="6" s="1"/>
  <c r="M21" i="6"/>
  <c r="M22" i="6" s="1"/>
  <c r="M15" i="6"/>
  <c r="M16" i="6" s="1"/>
  <c r="K15" i="6"/>
  <c r="K16" i="6" s="1"/>
  <c r="K9" i="6"/>
  <c r="K10" i="6" s="1"/>
  <c r="I9" i="6"/>
  <c r="I24" i="6" s="1"/>
  <c r="I25" i="6" s="1"/>
  <c r="J10" i="6"/>
  <c r="L10" i="6"/>
  <c r="L24" i="6"/>
  <c r="L25" i="6" s="1"/>
  <c r="M10" i="6"/>
  <c r="J24" i="6" l="1"/>
  <c r="J25" i="6" s="1"/>
  <c r="M24" i="6"/>
  <c r="M25" i="6" s="1"/>
  <c r="K24" i="6"/>
  <c r="K25" i="6" s="1"/>
  <c r="I10" i="6"/>
  <c r="C14" i="2"/>
  <c r="C12" i="2" l="1"/>
  <c r="C15" i="2" l="1"/>
  <c r="C16" i="2" s="1"/>
  <c r="D14" i="2"/>
  <c r="D15" i="2" s="1"/>
  <c r="D16" i="2" s="1"/>
  <c r="B14" i="2"/>
  <c r="E11" i="2"/>
  <c r="E10" i="2"/>
  <c r="B13" i="2" l="1"/>
  <c r="D4" i="8"/>
  <c r="E14" i="2"/>
  <c r="E15" i="2" s="1"/>
  <c r="D13" i="2"/>
  <c r="C13" i="2"/>
  <c r="B15" i="2"/>
  <c r="B16" i="2" s="1"/>
  <c r="G22" i="8" s="1"/>
  <c r="F22" i="8" s="1"/>
  <c r="D12" i="2"/>
  <c r="B12" i="2"/>
  <c r="J22" i="8" l="1"/>
  <c r="H22" i="8" s="1"/>
  <c r="E16" i="2"/>
  <c r="G7" i="8" s="1"/>
  <c r="G5" i="8"/>
  <c r="E5" i="8"/>
  <c r="C8" i="6"/>
  <c r="C9" i="6" s="1"/>
  <c r="C10" i="6" s="1"/>
  <c r="E8" i="6"/>
  <c r="E9" i="6" s="1"/>
  <c r="E10" i="6" s="1"/>
  <c r="B8" i="6"/>
  <c r="B9" i="6" s="1"/>
  <c r="B10" i="6" s="1"/>
  <c r="D8" i="6"/>
  <c r="D9" i="6" s="1"/>
  <c r="D10" i="6" s="1"/>
  <c r="F8" i="6"/>
  <c r="F9" i="6" s="1"/>
  <c r="F10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xion" type="4" refreshedVersion="0" background="1">
    <webPr url="https://www.coinhills.com/market/eth/" htmlTables="1" htmlFormat="all"/>
  </connection>
</connections>
</file>

<file path=xl/sharedStrings.xml><?xml version="1.0" encoding="utf-8"?>
<sst xmlns="http://schemas.openxmlformats.org/spreadsheetml/2006/main" count="160" uniqueCount="76">
  <si>
    <t>LTC</t>
  </si>
  <si>
    <t>ETH</t>
  </si>
  <si>
    <t>BTC</t>
  </si>
  <si>
    <t>Invested amount</t>
  </si>
  <si>
    <t>Full name</t>
  </si>
  <si>
    <t>Bitcoin</t>
  </si>
  <si>
    <t>Ethereum</t>
  </si>
  <si>
    <t>LiteCoin</t>
  </si>
  <si>
    <t>Acronym</t>
  </si>
  <si>
    <t>Currencies</t>
  </si>
  <si>
    <t>Exchange name :</t>
  </si>
  <si>
    <t>Kraken</t>
  </si>
  <si>
    <t xml:space="preserve">Current Price </t>
  </si>
  <si>
    <t>Quantity</t>
  </si>
  <si>
    <t>PAMP</t>
  </si>
  <si>
    <t>Weight</t>
  </si>
  <si>
    <t>Current value</t>
  </si>
  <si>
    <t>P/L</t>
  </si>
  <si>
    <t>P/L %</t>
  </si>
  <si>
    <t>Total</t>
  </si>
  <si>
    <t>-</t>
  </si>
  <si>
    <t>Update time :</t>
  </si>
  <si>
    <t>Name</t>
  </si>
  <si>
    <t>Lorenzo</t>
  </si>
  <si>
    <t>Quinn</t>
  </si>
  <si>
    <t>Tommy</t>
  </si>
  <si>
    <t>Kevin</t>
  </si>
  <si>
    <t>Hai-Son</t>
  </si>
  <si>
    <t>Partners</t>
  </si>
  <si>
    <t xml:space="preserve">Investment </t>
  </si>
  <si>
    <t xml:space="preserve">Update time : </t>
  </si>
  <si>
    <t>Year :</t>
  </si>
  <si>
    <t xml:space="preserve">Currency : </t>
  </si>
  <si>
    <t>Trans. # :</t>
  </si>
  <si>
    <t>AMOUNTS</t>
  </si>
  <si>
    <t>Date</t>
  </si>
  <si>
    <t>Pair</t>
  </si>
  <si>
    <t>Volume</t>
  </si>
  <si>
    <t>BUY</t>
  </si>
  <si>
    <t>SELL</t>
  </si>
  <si>
    <t>FEE</t>
  </si>
  <si>
    <t>Made by</t>
  </si>
  <si>
    <t>DATA</t>
  </si>
  <si>
    <t>USD</t>
  </si>
  <si>
    <t>Next update in :</t>
  </si>
  <si>
    <t>Adjusted investment performance</t>
  </si>
  <si>
    <t>Global investment performance</t>
  </si>
  <si>
    <t>Total P/L</t>
  </si>
  <si>
    <t>Total P/L %</t>
  </si>
  <si>
    <t>Registered profit &amp; loss</t>
  </si>
  <si>
    <t>Investment history</t>
  </si>
  <si>
    <t>Total invested amount</t>
  </si>
  <si>
    <t>Currency</t>
  </si>
  <si>
    <t>Acquisition Cost</t>
  </si>
  <si>
    <t>Holdings</t>
  </si>
  <si>
    <t>Profit / Loss</t>
  </si>
  <si>
    <t>Transactions</t>
  </si>
  <si>
    <t>YTD</t>
  </si>
  <si>
    <t>MTD</t>
  </si>
  <si>
    <t>Today</t>
  </si>
  <si>
    <t>Last buy</t>
  </si>
  <si>
    <t>Last sell</t>
  </si>
  <si>
    <t xml:space="preserve">At </t>
  </si>
  <si>
    <t>Qty</t>
  </si>
  <si>
    <t>Value</t>
  </si>
  <si>
    <t>Portfolio segmentation (current value)</t>
  </si>
  <si>
    <t>Currencies price data</t>
  </si>
  <si>
    <t>Unit Price</t>
  </si>
  <si>
    <t xml:space="preserve">Variation </t>
  </si>
  <si>
    <t>USD/EUR rate</t>
  </si>
  <si>
    <t xml:space="preserve">Currencies performance </t>
  </si>
  <si>
    <t>Highest profit/Lowest loss</t>
  </si>
  <si>
    <t>Lowest profit/Highest loss</t>
  </si>
  <si>
    <t>EUR</t>
  </si>
  <si>
    <t xml:space="preserve"> </t>
  </si>
  <si>
    <t>Update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</si>
</sst>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#,##0\ &quot;€&quot;;[Red]\-#,##0\ &quot;€&quot;"/>
    <numFmt numFmtId="165" formatCode="_-* #,##0.00\ &quot;€&quot;_-;\-* #,##0.00\ &quot;€&quot;_-;_-* &quot;-&quot;??\ &quot;€&quot;_-;_-@_-"/>
    <numFmt numFmtId="166" formatCode="_-* #,##0.00\ _€_-;\-* #,##0.00\ _€_-;_-* &quot;-&quot;??\ _€_-;_-@_-"/>
    <numFmt numFmtId="167" formatCode="_-[$$-409]* #,##0.00_ ;_-[$$-409]* \-#,##0.00\ ;_-[$$-409]* &quot;-&quot;??_ ;_-@_ "/>
    <numFmt numFmtId="168" formatCode="0.0%"/>
    <numFmt numFmtId="169" formatCode="dd/mm/yyyy\ hh:mm:ss"/>
    <numFmt numFmtId="170" formatCode="\-#\ ##0.00\ \€;\-#\ ##0.00\ \€"/>
    <numFmt numFmtId="171" formatCode="#\ ##0.00\ \€;#\ ##0.00\ \€"/>
    <numFmt numFmtId="172" formatCode="_-&quot;€&quot;* #,##0.00_-;\-&quot;€&quot;* #,##0.00_-;_-&quot;€&quot;* &quot;-&quot;??_-;_-@_-"/>
    <numFmt numFmtId="173" formatCode="#\ ##\ \€;#\ ##\ \€"/>
    <numFmt numFmtId="174" formatCode="\+#\ ##0.00\ \€;\+#\ ##0.00\ \€"/>
    <numFmt numFmtId="175" formatCode="\-#\ ##0\ \€;\-#\ ##0\ \€"/>
    <numFmt numFmtId="176" formatCode="0.000"/>
    <numFmt numFmtId="177" formatCode="_-&quot;€&quot;* #,##0_-;\-&quot;€&quot;* #,##0_-;_-&quot;€&quot;* &quot;-&quot;??_-;_-@_-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4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u val="singleAccounting"/>
      <sz val="12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12"/>
      <color indexed="10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5" tint="-0.249977111117893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0"/>
      <color theme="2" tint="-0.499984740745262"/>
      <name val="Calibri"/>
      <family val="2"/>
      <scheme val="minor"/>
    </font>
    <font>
      <sz val="11"/>
      <color theme="9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149998474074526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 style="thick">
        <color theme="4"/>
      </right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 style="thick">
        <color theme="4"/>
      </right>
      <top/>
      <bottom/>
      <diagonal/>
    </border>
    <border>
      <left/>
      <right style="dashed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 style="thick">
        <color theme="4"/>
      </left>
      <right style="thick">
        <color theme="4"/>
      </right>
      <top/>
      <bottom style="thick">
        <color theme="4"/>
      </bottom>
      <diagonal/>
    </border>
    <border>
      <left/>
      <right style="dashed">
        <color theme="4"/>
      </right>
      <top/>
      <bottom style="thick">
        <color theme="4"/>
      </bottom>
      <diagonal/>
    </border>
    <border>
      <left style="hair">
        <color theme="4"/>
      </left>
      <right/>
      <top/>
      <bottom/>
      <diagonal/>
    </border>
    <border>
      <left style="hair">
        <color theme="4"/>
      </left>
      <right/>
      <top/>
      <bottom style="thick">
        <color theme="4"/>
      </bottom>
      <diagonal/>
    </border>
    <border>
      <left style="dashed">
        <color theme="4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66" fontId="3" fillId="0" borderId="0" applyFont="0" applyFill="0" applyBorder="0" applyAlignment="0" applyProtection="0"/>
  </cellStyleXfs>
  <cellXfs count="173">
    <xf numFmtId="0" fontId="0" fillId="0" borderId="0" xfId="0"/>
    <xf numFmtId="0" fontId="2" fillId="0" borderId="0" xfId="0" applyFont="1"/>
    <xf numFmtId="19" fontId="8" fillId="2" borderId="0" xfId="0" applyNumberFormat="1" applyFont="1" applyFill="1"/>
    <xf numFmtId="0" fontId="9" fillId="2" borderId="0" xfId="0" applyFont="1" applyFill="1"/>
    <xf numFmtId="0" fontId="10" fillId="0" borderId="0" xfId="0" applyFont="1"/>
    <xf numFmtId="0" fontId="8" fillId="0" borderId="0" xfId="0" applyFont="1"/>
    <xf numFmtId="22" fontId="11" fillId="0" borderId="0" xfId="0" applyNumberFormat="1" applyFont="1"/>
    <xf numFmtId="0" fontId="9" fillId="2" borderId="1" xfId="0" applyFont="1" applyFill="1" applyBorder="1"/>
    <xf numFmtId="0" fontId="9" fillId="2" borderId="1" xfId="0" applyFont="1" applyFill="1" applyBorder="1" applyAlignment="1">
      <alignment horizontal="center"/>
    </xf>
    <xf numFmtId="0" fontId="11" fillId="2" borderId="1" xfId="0" applyFont="1" applyFill="1" applyBorder="1"/>
    <xf numFmtId="0" fontId="11" fillId="2" borderId="1" xfId="0" applyFont="1" applyFill="1" applyBorder="1" applyAlignment="1">
      <alignment horizontal="center"/>
    </xf>
    <xf numFmtId="0" fontId="10" fillId="3" borderId="5" xfId="0" applyFont="1" applyFill="1" applyBorder="1"/>
    <xf numFmtId="0" fontId="10" fillId="3" borderId="5" xfId="0" applyFont="1" applyFill="1" applyBorder="1" applyAlignment="1">
      <alignment horizontal="center"/>
    </xf>
    <xf numFmtId="0" fontId="10" fillId="3" borderId="0" xfId="0" applyFont="1" applyFill="1"/>
    <xf numFmtId="0" fontId="13" fillId="0" borderId="5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1" fillId="2" borderId="6" xfId="0" applyFont="1" applyFill="1" applyBorder="1"/>
    <xf numFmtId="167" fontId="11" fillId="0" borderId="6" xfId="0" applyNumberFormat="1" applyFont="1" applyBorder="1"/>
    <xf numFmtId="167" fontId="9" fillId="0" borderId="6" xfId="0" applyNumberFormat="1" applyFont="1" applyBorder="1"/>
    <xf numFmtId="167" fontId="11" fillId="0" borderId="1" xfId="1" applyNumberFormat="1" applyFont="1" applyBorder="1"/>
    <xf numFmtId="167" fontId="11" fillId="0" borderId="1" xfId="0" applyNumberFormat="1" applyFont="1" applyBorder="1"/>
    <xf numFmtId="0" fontId="9" fillId="0" borderId="1" xfId="0" applyFont="1" applyBorder="1" applyAlignment="1">
      <alignment horizontal="center"/>
    </xf>
    <xf numFmtId="0" fontId="15" fillId="2" borderId="1" xfId="0" applyFont="1" applyFill="1" applyBorder="1"/>
    <xf numFmtId="9" fontId="15" fillId="0" borderId="1" xfId="2" applyFont="1" applyBorder="1"/>
    <xf numFmtId="0" fontId="16" fillId="2" borderId="1" xfId="0" applyFont="1" applyFill="1" applyBorder="1"/>
    <xf numFmtId="167" fontId="17" fillId="0" borderId="1" xfId="0" applyNumberFormat="1" applyFont="1" applyBorder="1"/>
    <xf numFmtId="167" fontId="8" fillId="0" borderId="1" xfId="0" applyNumberFormat="1" applyFont="1" applyBorder="1"/>
    <xf numFmtId="167" fontId="9" fillId="0" borderId="1" xfId="0" applyNumberFormat="1" applyFont="1" applyBorder="1"/>
    <xf numFmtId="0" fontId="9" fillId="2" borderId="7" xfId="0" applyFont="1" applyFill="1" applyBorder="1"/>
    <xf numFmtId="0" fontId="10" fillId="0" borderId="0" xfId="0" applyFont="1" applyAlignment="1">
      <alignment horizontal="center"/>
    </xf>
    <xf numFmtId="9" fontId="10" fillId="0" borderId="0" xfId="2" applyFont="1"/>
    <xf numFmtId="0" fontId="2" fillId="2" borderId="0" xfId="3" applyFont="1" applyFill="1"/>
    <xf numFmtId="0" fontId="3" fillId="2" borderId="0" xfId="3" applyFont="1" applyFill="1" applyAlignment="1">
      <alignment horizontal="left"/>
    </xf>
    <xf numFmtId="0" fontId="3" fillId="2" borderId="0" xfId="3" applyFill="1" applyAlignment="1">
      <alignment horizontal="center"/>
    </xf>
    <xf numFmtId="0" fontId="3" fillId="2" borderId="0" xfId="3" applyFill="1"/>
    <xf numFmtId="0" fontId="3" fillId="0" borderId="0" xfId="3"/>
    <xf numFmtId="0" fontId="19" fillId="4" borderId="5" xfId="3" applyFont="1" applyFill="1" applyBorder="1" applyAlignment="1">
      <alignment horizontal="center"/>
    </xf>
    <xf numFmtId="0" fontId="18" fillId="4" borderId="4" xfId="3" applyFont="1" applyFill="1" applyBorder="1" applyAlignment="1">
      <alignment horizontal="center"/>
    </xf>
    <xf numFmtId="169" fontId="3" fillId="2" borderId="0" xfId="3" applyNumberFormat="1" applyFill="1"/>
    <xf numFmtId="170" fontId="20" fillId="2" borderId="0" xfId="3" applyNumberFormat="1" applyFont="1" applyFill="1" applyAlignment="1">
      <alignment horizontal="center"/>
    </xf>
    <xf numFmtId="171" fontId="4" fillId="2" borderId="0" xfId="3" applyNumberFormat="1" applyFont="1" applyFill="1" applyAlignment="1">
      <alignment horizontal="center"/>
    </xf>
    <xf numFmtId="170" fontId="20" fillId="2" borderId="0" xfId="4" applyNumberFormat="1" applyFont="1" applyFill="1" applyAlignment="1">
      <alignment horizontal="center"/>
    </xf>
    <xf numFmtId="0" fontId="4" fillId="2" borderId="0" xfId="3" applyNumberFormat="1" applyFont="1" applyFill="1" applyAlignment="1">
      <alignment horizontal="center"/>
    </xf>
    <xf numFmtId="173" fontId="4" fillId="2" borderId="0" xfId="3" applyNumberFormat="1" applyFont="1" applyFill="1" applyAlignment="1">
      <alignment horizontal="center"/>
    </xf>
    <xf numFmtId="0" fontId="21" fillId="2" borderId="0" xfId="3" applyFont="1" applyFill="1"/>
    <xf numFmtId="174" fontId="22" fillId="0" borderId="0" xfId="3" applyNumberFormat="1" applyFont="1" applyAlignment="1">
      <alignment horizontal="center"/>
    </xf>
    <xf numFmtId="171" fontId="4" fillId="0" borderId="0" xfId="3" applyNumberFormat="1" applyFont="1" applyAlignment="1">
      <alignment horizontal="center"/>
    </xf>
    <xf numFmtId="3" fontId="21" fillId="2" borderId="0" xfId="3" applyNumberFormat="1" applyFont="1" applyFill="1"/>
    <xf numFmtId="164" fontId="21" fillId="2" borderId="0" xfId="3" applyNumberFormat="1" applyFont="1" applyFill="1"/>
    <xf numFmtId="175" fontId="21" fillId="2" borderId="0" xfId="3" applyNumberFormat="1" applyFont="1" applyFill="1"/>
    <xf numFmtId="0" fontId="18" fillId="4" borderId="2" xfId="3" applyFont="1" applyFill="1" applyBorder="1" applyAlignment="1">
      <alignment horizontal="center"/>
    </xf>
    <xf numFmtId="0" fontId="18" fillId="4" borderId="3" xfId="3" applyFont="1" applyFill="1" applyBorder="1" applyAlignment="1">
      <alignment horizontal="center"/>
    </xf>
    <xf numFmtId="0" fontId="7" fillId="4" borderId="4" xfId="3" applyFont="1" applyFill="1" applyBorder="1" applyAlignment="1">
      <alignment horizontal="center"/>
    </xf>
    <xf numFmtId="167" fontId="20" fillId="0" borderId="5" xfId="0" applyNumberFormat="1" applyFont="1" applyBorder="1"/>
    <xf numFmtId="0" fontId="23" fillId="2" borderId="1" xfId="0" applyFont="1" applyFill="1" applyBorder="1"/>
    <xf numFmtId="0" fontId="23" fillId="0" borderId="1" xfId="0" applyFont="1" applyBorder="1"/>
    <xf numFmtId="0" fontId="24" fillId="0" borderId="1" xfId="0" applyFont="1" applyBorder="1"/>
    <xf numFmtId="0" fontId="7" fillId="0" borderId="5" xfId="0" applyFont="1" applyBorder="1"/>
    <xf numFmtId="0" fontId="1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0" fontId="3" fillId="0" borderId="6" xfId="0" applyFont="1" applyBorder="1"/>
    <xf numFmtId="167" fontId="3" fillId="0" borderId="6" xfId="0" applyNumberFormat="1" applyFont="1" applyBorder="1"/>
    <xf numFmtId="0" fontId="4" fillId="0" borderId="1" xfId="0" applyFont="1" applyBorder="1"/>
    <xf numFmtId="9" fontId="4" fillId="0" borderId="1" xfId="2" applyFont="1" applyBorder="1"/>
    <xf numFmtId="0" fontId="4" fillId="0" borderId="1" xfId="0" applyFont="1" applyBorder="1" applyAlignment="1">
      <alignment horizontal="left"/>
    </xf>
    <xf numFmtId="176" fontId="4" fillId="0" borderId="1" xfId="0" applyNumberFormat="1" applyFont="1" applyBorder="1"/>
    <xf numFmtId="0" fontId="16" fillId="0" borderId="1" xfId="0" applyFont="1" applyBorder="1"/>
    <xf numFmtId="167" fontId="16" fillId="0" borderId="1" xfId="0" applyNumberFormat="1" applyFont="1" applyBorder="1"/>
    <xf numFmtId="0" fontId="16" fillId="0" borderId="1" xfId="0" applyFont="1" applyBorder="1" applyAlignment="1">
      <alignment horizontal="left"/>
    </xf>
    <xf numFmtId="0" fontId="9" fillId="0" borderId="1" xfId="0" applyFont="1" applyBorder="1"/>
    <xf numFmtId="0" fontId="9" fillId="0" borderId="7" xfId="0" applyFont="1" applyBorder="1"/>
    <xf numFmtId="168" fontId="9" fillId="0" borderId="7" xfId="2" applyNumberFormat="1" applyFont="1" applyBorder="1"/>
    <xf numFmtId="0" fontId="3" fillId="0" borderId="1" xfId="0" applyFont="1" applyBorder="1"/>
    <xf numFmtId="167" fontId="16" fillId="0" borderId="1" xfId="2" applyNumberFormat="1" applyFont="1" applyBorder="1"/>
    <xf numFmtId="167" fontId="9" fillId="0" borderId="1" xfId="2" applyNumberFormat="1" applyFont="1" applyBorder="1"/>
    <xf numFmtId="0" fontId="9" fillId="0" borderId="8" xfId="0" applyFont="1" applyBorder="1"/>
    <xf numFmtId="0" fontId="9" fillId="0" borderId="9" xfId="0" applyFont="1" applyBorder="1"/>
    <xf numFmtId="0" fontId="28" fillId="4" borderId="4" xfId="3" applyFont="1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9" fillId="0" borderId="6" xfId="0" applyFont="1" applyBorder="1"/>
    <xf numFmtId="0" fontId="4" fillId="0" borderId="7" xfId="0" applyFont="1" applyBorder="1"/>
    <xf numFmtId="167" fontId="9" fillId="0" borderId="5" xfId="0" applyNumberFormat="1" applyFont="1" applyBorder="1"/>
    <xf numFmtId="45" fontId="26" fillId="0" borderId="0" xfId="0" applyNumberFormat="1" applyFont="1" applyAlignment="1">
      <alignment horizontal="left"/>
    </xf>
    <xf numFmtId="45" fontId="26" fillId="0" borderId="0" xfId="0" applyNumberFormat="1" applyFont="1" applyAlignment="1">
      <alignment horizontal="center"/>
    </xf>
    <xf numFmtId="0" fontId="29" fillId="0" borderId="0" xfId="0" applyFont="1"/>
    <xf numFmtId="0" fontId="28" fillId="0" borderId="0" xfId="0" applyFont="1" applyBorder="1" applyAlignment="1">
      <alignment horizontal="center"/>
    </xf>
    <xf numFmtId="167" fontId="29" fillId="0" borderId="0" xfId="0" applyNumberFormat="1" applyFont="1"/>
    <xf numFmtId="22" fontId="3" fillId="0" borderId="0" xfId="3" applyNumberFormat="1"/>
    <xf numFmtId="0" fontId="32" fillId="3" borderId="14" xfId="3" applyFont="1" applyFill="1" applyBorder="1" applyAlignment="1">
      <alignment horizontal="center"/>
    </xf>
    <xf numFmtId="177" fontId="34" fillId="0" borderId="17" xfId="4" applyNumberFormat="1" applyFont="1" applyBorder="1" applyAlignment="1">
      <alignment vertical="center"/>
    </xf>
    <xf numFmtId="0" fontId="35" fillId="0" borderId="16" xfId="3" applyFont="1" applyBorder="1" applyAlignment="1">
      <alignment horizontal="right"/>
    </xf>
    <xf numFmtId="0" fontId="35" fillId="0" borderId="0" xfId="3" applyFont="1" applyBorder="1" applyAlignment="1">
      <alignment horizontal="right"/>
    </xf>
    <xf numFmtId="0" fontId="35" fillId="0" borderId="17" xfId="3" applyFont="1" applyBorder="1" applyAlignment="1">
      <alignment horizontal="right"/>
    </xf>
    <xf numFmtId="0" fontId="3" fillId="0" borderId="16" xfId="3" applyBorder="1"/>
    <xf numFmtId="0" fontId="35" fillId="0" borderId="19" xfId="3" applyFont="1" applyFill="1" applyBorder="1" applyAlignment="1">
      <alignment horizontal="center"/>
    </xf>
    <xf numFmtId="0" fontId="35" fillId="0" borderId="17" xfId="3" applyFont="1" applyFill="1" applyBorder="1" applyAlignment="1">
      <alignment horizontal="center"/>
    </xf>
    <xf numFmtId="0" fontId="3" fillId="0" borderId="0" xfId="3" applyBorder="1"/>
    <xf numFmtId="0" fontId="3" fillId="0" borderId="17" xfId="3" applyBorder="1"/>
    <xf numFmtId="0" fontId="35" fillId="0" borderId="16" xfId="3" applyFont="1" applyBorder="1"/>
    <xf numFmtId="0" fontId="1" fillId="0" borderId="19" xfId="3" applyFont="1" applyBorder="1" applyAlignment="1">
      <alignment horizontal="center"/>
    </xf>
    <xf numFmtId="0" fontId="1" fillId="0" borderId="17" xfId="3" applyFont="1" applyBorder="1" applyAlignment="1">
      <alignment horizontal="center"/>
    </xf>
    <xf numFmtId="0" fontId="1" fillId="0" borderId="19" xfId="3" applyFont="1" applyBorder="1"/>
    <xf numFmtId="1" fontId="1" fillId="0" borderId="17" xfId="3" applyNumberFormat="1" applyFont="1" applyBorder="1"/>
    <xf numFmtId="172" fontId="34" fillId="0" borderId="22" xfId="4" applyFont="1" applyBorder="1" applyAlignment="1">
      <alignment vertical="center"/>
    </xf>
    <xf numFmtId="0" fontId="3" fillId="0" borderId="11" xfId="3" applyBorder="1"/>
    <xf numFmtId="0" fontId="3" fillId="0" borderId="21" xfId="3" applyBorder="1"/>
    <xf numFmtId="0" fontId="35" fillId="0" borderId="20" xfId="3" applyFont="1" applyBorder="1"/>
    <xf numFmtId="2" fontId="31" fillId="0" borderId="23" xfId="4" applyNumberFormat="1" applyFont="1" applyBorder="1"/>
    <xf numFmtId="2" fontId="38" fillId="0" borderId="21" xfId="4" applyNumberFormat="1" applyFont="1" applyBorder="1"/>
    <xf numFmtId="0" fontId="35" fillId="0" borderId="0" xfId="3" applyFont="1" applyBorder="1" applyAlignment="1">
      <alignment horizontal="center"/>
    </xf>
    <xf numFmtId="0" fontId="35" fillId="0" borderId="17" xfId="3" applyFont="1" applyBorder="1" applyAlignment="1">
      <alignment horizontal="center"/>
    </xf>
    <xf numFmtId="0" fontId="3" fillId="0" borderId="16" xfId="3" applyBorder="1" applyAlignment="1">
      <alignment horizontal="center"/>
    </xf>
    <xf numFmtId="166" fontId="3" fillId="0" borderId="0" xfId="5" applyFont="1" applyBorder="1"/>
    <xf numFmtId="0" fontId="3" fillId="0" borderId="24" xfId="3" applyBorder="1"/>
    <xf numFmtId="0" fontId="3" fillId="0" borderId="20" xfId="3" applyBorder="1" applyAlignment="1">
      <alignment horizontal="center"/>
    </xf>
    <xf numFmtId="166" fontId="3" fillId="0" borderId="11" xfId="5" applyFont="1" applyBorder="1"/>
    <xf numFmtId="0" fontId="3" fillId="0" borderId="25" xfId="3" applyBorder="1"/>
    <xf numFmtId="0" fontId="19" fillId="0" borderId="20" xfId="3" applyFont="1" applyBorder="1" applyAlignment="1">
      <alignment horizontal="center"/>
    </xf>
    <xf numFmtId="9" fontId="40" fillId="0" borderId="11" xfId="3" applyNumberFormat="1" applyFont="1" applyBorder="1" applyAlignment="1">
      <alignment horizontal="center"/>
    </xf>
    <xf numFmtId="0" fontId="7" fillId="0" borderId="11" xfId="3" applyFont="1" applyBorder="1" applyAlignment="1">
      <alignment horizontal="center"/>
    </xf>
    <xf numFmtId="9" fontId="40" fillId="0" borderId="21" xfId="3" applyNumberFormat="1" applyFont="1" applyBorder="1" applyAlignment="1">
      <alignment horizontal="center"/>
    </xf>
    <xf numFmtId="0" fontId="3" fillId="0" borderId="20" xfId="3" applyBorder="1"/>
    <xf numFmtId="0" fontId="41" fillId="0" borderId="0" xfId="3" applyFont="1"/>
    <xf numFmtId="0" fontId="2" fillId="0" borderId="0" xfId="3" applyFont="1"/>
    <xf numFmtId="0" fontId="42" fillId="0" borderId="0" xfId="3" applyFont="1"/>
    <xf numFmtId="45" fontId="26" fillId="0" borderId="0" xfId="3" applyNumberFormat="1" applyFont="1"/>
    <xf numFmtId="0" fontId="7" fillId="0" borderId="20" xfId="3" applyFont="1" applyBorder="1" applyAlignment="1">
      <alignment horizontal="center"/>
    </xf>
    <xf numFmtId="10" fontId="1" fillId="0" borderId="20" xfId="3" applyNumberFormat="1" applyFont="1" applyBorder="1"/>
    <xf numFmtId="168" fontId="9" fillId="0" borderId="7" xfId="2" applyNumberFormat="1" applyFont="1" applyBorder="1" applyAlignment="1">
      <alignment horizontal="center"/>
    </xf>
    <xf numFmtId="0" fontId="32" fillId="3" borderId="12" xfId="3" applyFont="1" applyFill="1" applyBorder="1" applyAlignment="1">
      <alignment horizontal="center"/>
    </xf>
    <xf numFmtId="0" fontId="32" fillId="3" borderId="15" xfId="3" applyFont="1" applyFill="1" applyBorder="1" applyAlignment="1">
      <alignment horizontal="center"/>
    </xf>
    <xf numFmtId="0" fontId="32" fillId="3" borderId="13" xfId="3" applyFont="1" applyFill="1" applyBorder="1" applyAlignment="1">
      <alignment horizontal="center"/>
    </xf>
    <xf numFmtId="0" fontId="39" fillId="0" borderId="16" xfId="3" applyFont="1" applyFill="1" applyBorder="1" applyAlignment="1">
      <alignment horizontal="center"/>
    </xf>
    <xf numFmtId="0" fontId="39" fillId="0" borderId="19" xfId="3" applyFont="1" applyFill="1" applyBorder="1" applyAlignment="1">
      <alignment horizontal="center"/>
    </xf>
    <xf numFmtId="0" fontId="39" fillId="0" borderId="26" xfId="3" applyFont="1" applyBorder="1" applyAlignment="1">
      <alignment horizontal="center"/>
    </xf>
    <xf numFmtId="0" fontId="39" fillId="0" borderId="0" xfId="3" applyFont="1" applyBorder="1" applyAlignment="1">
      <alignment horizontal="center"/>
    </xf>
    <xf numFmtId="0" fontId="39" fillId="0" borderId="17" xfId="3" applyFont="1" applyBorder="1" applyAlignment="1">
      <alignment horizontal="center"/>
    </xf>
    <xf numFmtId="0" fontId="39" fillId="0" borderId="16" xfId="3" applyFont="1" applyBorder="1" applyAlignment="1">
      <alignment horizontal="center"/>
    </xf>
    <xf numFmtId="0" fontId="3" fillId="0" borderId="20" xfId="3" applyBorder="1" applyAlignment="1">
      <alignment horizontal="center"/>
    </xf>
    <xf numFmtId="0" fontId="3" fillId="0" borderId="21" xfId="3" applyBorder="1" applyAlignment="1">
      <alignment horizontal="center"/>
    </xf>
    <xf numFmtId="0" fontId="33" fillId="0" borderId="16" xfId="3" applyFont="1" applyBorder="1" applyAlignment="1">
      <alignment horizontal="center" vertical="center"/>
    </xf>
    <xf numFmtId="0" fontId="33" fillId="0" borderId="17" xfId="3" applyFont="1" applyBorder="1" applyAlignment="1">
      <alignment horizontal="center" vertical="center"/>
    </xf>
    <xf numFmtId="0" fontId="33" fillId="0" borderId="20" xfId="3" applyFont="1" applyBorder="1" applyAlignment="1">
      <alignment horizontal="center" vertical="center"/>
    </xf>
    <xf numFmtId="0" fontId="33" fillId="0" borderId="21" xfId="3" applyFont="1" applyBorder="1" applyAlignment="1">
      <alignment horizontal="center" vertical="center"/>
    </xf>
    <xf numFmtId="166" fontId="34" fillId="0" borderId="18" xfId="5" applyFont="1" applyBorder="1" applyAlignment="1">
      <alignment horizontal="center" vertical="center"/>
    </xf>
    <xf numFmtId="166" fontId="34" fillId="0" borderId="16" xfId="5" applyFont="1" applyBorder="1" applyAlignment="1">
      <alignment horizontal="center" vertical="center"/>
    </xf>
    <xf numFmtId="166" fontId="34" fillId="0" borderId="17" xfId="5" applyFont="1" applyBorder="1" applyAlignment="1">
      <alignment horizontal="center" vertical="center"/>
    </xf>
    <xf numFmtId="166" fontId="36" fillId="0" borderId="16" xfId="5" applyFont="1" applyBorder="1" applyAlignment="1">
      <alignment horizontal="center" vertical="center"/>
    </xf>
    <xf numFmtId="0" fontId="37" fillId="0" borderId="16" xfId="3" applyFont="1" applyBorder="1" applyAlignment="1">
      <alignment horizontal="center" vertical="center"/>
    </xf>
    <xf numFmtId="0" fontId="37" fillId="0" borderId="20" xfId="3" applyFont="1" applyBorder="1" applyAlignment="1">
      <alignment horizontal="center" vertical="center"/>
    </xf>
    <xf numFmtId="22" fontId="37" fillId="0" borderId="17" xfId="3" applyNumberFormat="1" applyFont="1" applyBorder="1" applyAlignment="1">
      <alignment horizontal="center" vertical="center"/>
    </xf>
    <xf numFmtId="22" fontId="37" fillId="0" borderId="21" xfId="3" applyNumberFormat="1" applyFont="1" applyBorder="1" applyAlignment="1">
      <alignment horizontal="center" vertical="center"/>
    </xf>
    <xf numFmtId="0" fontId="12" fillId="2" borderId="2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22" fontId="3" fillId="0" borderId="10" xfId="0" applyNumberFormat="1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30" fillId="0" borderId="2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18" fillId="4" borderId="2" xfId="3" applyFont="1" applyFill="1" applyBorder="1" applyAlignment="1">
      <alignment horizontal="center"/>
    </xf>
    <xf numFmtId="0" fontId="18" fillId="4" borderId="3" xfId="3" applyFont="1" applyFill="1" applyBorder="1" applyAlignment="1">
      <alignment horizontal="center"/>
    </xf>
    <xf numFmtId="0" fontId="18" fillId="4" borderId="4" xfId="3" applyFont="1" applyFill="1" applyBorder="1" applyAlignment="1">
      <alignment horizontal="center"/>
    </xf>
  </cellXfs>
  <cellStyles count="6">
    <cellStyle name="Currency" xfId="1" builtinId="4"/>
    <cellStyle name="Milliers 2" xfId="5" xr:uid="{6C049A37-9958-4610-91E8-9D4DA2956587}"/>
    <cellStyle name="Monétaire 2" xfId="4" xr:uid="{FE9EE92F-EDD2-49E4-A84E-9DBC523B862F}"/>
    <cellStyle name="Normal" xfId="0" builtinId="0"/>
    <cellStyle name="Normal 2" xfId="3" xr:uid="{3E991AF0-670E-4988-8CFC-BEF4B8C331BD}"/>
    <cellStyle name="Percent" xfId="2" builtinId="5"/>
  </cellStyles>
  <dxfs count="12">
    <dxf>
      <font>
        <color theme="9" tint="-0.24994659260841701"/>
      </font>
    </dxf>
    <dxf>
      <font>
        <color theme="7"/>
      </font>
    </dxf>
    <dxf>
      <font>
        <color rgb="FFFF0000"/>
      </font>
    </dxf>
    <dxf>
      <font>
        <color theme="9" tint="-0.24994659260841701"/>
      </font>
    </dxf>
    <dxf>
      <font>
        <color theme="7"/>
      </font>
    </dxf>
    <dxf>
      <font>
        <color rgb="FFFF0000"/>
      </font>
    </dxf>
    <dxf>
      <font>
        <color theme="7"/>
      </font>
      <fill>
        <patternFill patternType="none">
          <bgColor auto="1"/>
        </patternFill>
      </fill>
    </dxf>
    <dxf>
      <font>
        <color theme="9" tint="-0.24994659260841701"/>
      </font>
    </dxf>
    <dxf>
      <font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79436402784981"/>
          <c:y val="0.20754474489138469"/>
          <c:w val="0.46855213457599232"/>
          <c:h val="0.6065752439859745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8BE-4B3E-921C-39B6974D0F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8BE-4B3E-921C-39B6974D0F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8BE-4B3E-921C-39B6974D0FED}"/>
              </c:ext>
            </c:extLst>
          </c:dPt>
          <c:dLbls>
            <c:dLbl>
              <c:idx val="0"/>
              <c:layout>
                <c:manualLayout>
                  <c:x val="0.1152223112829458"/>
                  <c:y val="0.20098238689156103"/>
                </c:manualLayout>
              </c:layout>
              <c:tx>
                <c:rich>
                  <a:bodyPr/>
                  <a:lstStyle/>
                  <a:p>
                    <a:fld id="{2E5DC2D3-A13A-4232-B3DD-C9753990B656}" type="CATEGORYNAME">
                      <a:rPr lang="en-US"/>
                      <a:pPr/>
                      <a:t>[CATEGORY NAME]</a:t>
                    </a:fld>
                    <a:fld id="{9AEF97A3-6B76-4689-B057-C06FEE00EFDA}" type="VALUE">
                      <a:rPr lang="en-US"/>
                      <a:pPr/>
                      <a:t>[VALUE]</a:t>
                    </a:fld>
                    <a:endParaRPr lang="en-US" baseline="0"/>
                  </a:p>
                  <a:p>
                    <a:fld id="{3A256606-B05D-4E55-A86D-8049311BC710}" type="PERCENTAGE">
                      <a:rPr lang="en-US">
                        <a:solidFill>
                          <a:srgbClr val="FF0000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8BE-4B3E-921C-39B6974D0FED}"/>
                </c:ext>
              </c:extLst>
            </c:dLbl>
            <c:dLbl>
              <c:idx val="1"/>
              <c:layout>
                <c:manualLayout>
                  <c:x val="-9.8325195048559438E-2"/>
                  <c:y val="0.1411318814155863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6C8FD63-F6B9-4FDA-A23A-60E09E781F0A}" type="CATEGORYNAME">
                      <a:rPr lang="en-US"/>
                      <a:pPr>
                        <a:defRPr sz="1200"/>
                      </a:pPr>
                      <a:t>[CATEGORY NAME]</a:t>
                    </a:fld>
                    <a:endParaRPr lang="en-US" baseline="0"/>
                  </a:p>
                  <a:p>
                    <a:pPr>
                      <a:defRPr sz="1200"/>
                    </a:pPr>
                    <a:fld id="{B65CCBB1-09E1-4A1D-9A44-B1569D0ABBD5}" type="VALUE">
                      <a:rPr lang="en-US"/>
                      <a:pPr>
                        <a:defRPr sz="1200"/>
                      </a:pPr>
                      <a:t>[VALUE]</a:t>
                    </a:fld>
                    <a:endParaRPr lang="en-US" baseline="0"/>
                  </a:p>
                  <a:p>
                    <a:pPr>
                      <a:defRPr sz="1200"/>
                    </a:pPr>
                    <a:fld id="{7181DBDC-3245-48B7-9EE3-1B9524559BE3}" type="PERCENTAGE">
                      <a:rPr lang="en-US">
                        <a:solidFill>
                          <a:srgbClr val="FF0000"/>
                        </a:solidFill>
                      </a:rPr>
                      <a:pPr>
                        <a:defRPr sz="1200"/>
                      </a:pPr>
                      <a:t>[PERCENTAGE]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926911596004738"/>
                      <c:h val="0.249768588086794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08BE-4B3E-921C-39B6974D0FED}"/>
                </c:ext>
              </c:extLst>
            </c:dLbl>
            <c:dLbl>
              <c:idx val="2"/>
              <c:layout>
                <c:manualLayout>
                  <c:x val="-0.20099643233218603"/>
                  <c:y val="-9.69368654499582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1B68AC3-B694-4AC4-9015-1A152F92421D}" type="CATEGORYNAME">
                      <a:rPr lang="en-US"/>
                      <a:pPr>
                        <a:defRPr sz="1200"/>
                      </a:pPr>
                      <a:t>[CATEGORY NAME]</a:t>
                    </a:fld>
                    <a:endParaRPr lang="en-US" baseline="0"/>
                  </a:p>
                  <a:p>
                    <a:pPr>
                      <a:defRPr sz="1200"/>
                    </a:pPr>
                    <a:fld id="{62691740-49C7-4252-A67F-F15461FA4297}" type="VALUE">
                      <a:rPr lang="en-US"/>
                      <a:pPr>
                        <a:defRPr sz="1200"/>
                      </a:pPr>
                      <a:t>[VALUE]</a:t>
                    </a:fld>
                    <a:endParaRPr lang="en-US" baseline="0"/>
                  </a:p>
                  <a:p>
                    <a:pPr>
                      <a:defRPr sz="1200"/>
                    </a:pPr>
                    <a:fld id="{D84E37EB-A44C-42F2-BC9C-091F86A1F625}" type="PERCENTAGE">
                      <a:rPr lang="en-US">
                        <a:solidFill>
                          <a:srgbClr val="FF0000"/>
                        </a:solidFill>
                      </a:rPr>
                      <a:pPr>
                        <a:defRPr sz="1200"/>
                      </a:pPr>
                      <a:t>[PERCENTAGE]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8434417254729388"/>
                      <c:h val="0.2896210163652024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08BE-4B3E-921C-39B6974D0F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PORTFOLIO!$B$9:$D$9</c:f>
              <c:strCache>
                <c:ptCount val="3"/>
                <c:pt idx="0">
                  <c:v>BTC</c:v>
                </c:pt>
                <c:pt idx="1">
                  <c:v>ETH</c:v>
                </c:pt>
                <c:pt idx="2">
                  <c:v>LTC</c:v>
                </c:pt>
              </c:strCache>
            </c:strRef>
          </c:cat>
          <c:val>
            <c:numRef>
              <c:f>PORTFOLIO!$B$14:$D$14</c:f>
              <c:numCache>
                <c:formatCode>_-[$$-409]* #,##0.00_ ;_-[$$-409]* \-#,##0.00\ ;_-[$$-409]* "-"??_ ;_-@_ </c:formatCode>
                <c:ptCount val="3"/>
                <c:pt idx="0">
                  <c:v>240.72959999999998</c:v>
                </c:pt>
                <c:pt idx="1">
                  <c:v>62.815200000000004</c:v>
                </c:pt>
                <c:pt idx="2">
                  <c:v>85.714848000000003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BE-4B3E-921C-39B6974D0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1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Portfolio segmentation (invested amount)</a:t>
            </a:r>
          </a:p>
        </c:rich>
      </c:tx>
      <c:layout>
        <c:manualLayout>
          <c:xMode val="edge"/>
          <c:yMode val="edge"/>
          <c:x val="2.2360017497812762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Portfolio segmentation</c:v>
          </c:tx>
          <c:explosion val="6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3B9-40B4-9798-7CCCB9277D0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3B9-40B4-9798-7CCCB9277D0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3B9-40B4-9798-7CCCB9277D0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2D49CCE1-23B8-4466-BF9D-72CB8B0470FC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 </a:t>
                    </a:r>
                    <a:fld id="{81E2A141-C539-4D1D-8449-84EAABDB3815}" type="VALUE">
                      <a:rPr lang="en-US" baseline="0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73B9-40B4-9798-7CCCB9277D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5D3903-F041-4F4F-9300-EAA79924781C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 </a:t>
                    </a:r>
                    <a:fld id="{504448A4-D760-42F6-BB2E-A37524987926}" type="VALUE">
                      <a:rPr lang="en-US" baseline="0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3B9-40B4-9798-7CCCB9277D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5B4AC2-8717-481F-B135-C8DEDB027532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 </a:t>
                    </a:r>
                    <a:fld id="{4C720BC9-6EBF-465B-B7B6-9705714AB44B}" type="VALUE">
                      <a:rPr lang="en-US" baseline="0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73B9-40B4-9798-7CCCB9277D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PORTFOLIO!$B$9:$D$9</c:f>
              <c:strCache>
                <c:ptCount val="3"/>
                <c:pt idx="0">
                  <c:v>BTC</c:v>
                </c:pt>
                <c:pt idx="1">
                  <c:v>ETH</c:v>
                </c:pt>
                <c:pt idx="2">
                  <c:v>LTC</c:v>
                </c:pt>
              </c:strCache>
            </c:strRef>
          </c:cat>
          <c:val>
            <c:numRef>
              <c:f>PORTFOLIO!$B$13:$D$13</c:f>
              <c:numCache>
                <c:formatCode>0%</c:formatCode>
                <c:ptCount val="3"/>
                <c:pt idx="0">
                  <c:v>0.5</c:v>
                </c:pt>
                <c:pt idx="1">
                  <c:v>0.25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B9-40B4-9798-7CCCB9277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Portfolio segmentation (current value)</a:t>
            </a:r>
          </a:p>
        </c:rich>
      </c:tx>
      <c:layout>
        <c:manualLayout>
          <c:xMode val="edge"/>
          <c:yMode val="edge"/>
          <c:x val="4.1111111111111131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Portfolio segmantation (current value)</c:v>
          </c:tx>
          <c:explosion val="6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C91-4CAA-A1C8-DEB099499A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C91-4CAA-A1C8-DEB099499AA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C91-4CAA-A1C8-DEB099499AAE}"/>
              </c:ext>
            </c:extLst>
          </c:dPt>
          <c:dLbls>
            <c:dLbl>
              <c:idx val="0"/>
              <c:layout>
                <c:manualLayout>
                  <c:x val="5.5555555555554534E-3"/>
                  <c:y val="5.0925925925925923E-2"/>
                </c:manualLayout>
              </c:layout>
              <c:tx>
                <c:rich>
                  <a:bodyPr/>
                  <a:lstStyle/>
                  <a:p>
                    <a:fld id="{2E5DC2D3-A13A-4232-B3DD-C9753990B656}" type="CATEGORYNAME">
                      <a:rPr lang="en-US"/>
                      <a:pPr/>
                      <a:t>[CATEGORY NAME]</a:t>
                    </a:fld>
                    <a:endParaRPr lang="en-US" baseline="0"/>
                  </a:p>
                  <a:p>
                    <a:fld id="{9AEF97A3-6B76-4689-B057-C06FEE00EFDA}" type="VALUE">
                      <a:rPr lang="en-US"/>
                      <a:pPr/>
                      <a:t>[VALUE]</a:t>
                    </a:fld>
                    <a:endParaRPr lang="en-US" baseline="0"/>
                  </a:p>
                  <a:p>
                    <a:fld id="{3A256606-B05D-4E55-A86D-8049311BC710}" type="PERCENTAGE">
                      <a:rPr lang="en-US">
                        <a:solidFill>
                          <a:srgbClr val="FF0000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9C91-4CAA-A1C8-DEB099499AAE}"/>
                </c:ext>
              </c:extLst>
            </c:dLbl>
            <c:dLbl>
              <c:idx val="1"/>
              <c:layout>
                <c:manualLayout>
                  <c:x val="-2.7777777777777776E-2"/>
                  <c:y val="-1.8518518518518517E-2"/>
                </c:manualLayout>
              </c:layout>
              <c:tx>
                <c:rich>
                  <a:bodyPr/>
                  <a:lstStyle/>
                  <a:p>
                    <a:fld id="{F6C8FD63-F6B9-4FDA-A23A-60E09E781F0A}" type="CATEGORYNAME">
                      <a:rPr lang="en-US"/>
                      <a:pPr/>
                      <a:t>[CATEGORY NAME]</a:t>
                    </a:fld>
                    <a:endParaRPr lang="en-US" baseline="0"/>
                  </a:p>
                  <a:p>
                    <a:fld id="{B65CCBB1-09E1-4A1D-9A44-B1569D0ABBD5}" type="VALUE">
                      <a:rPr lang="en-US"/>
                      <a:pPr/>
                      <a:t>[VALUE]</a:t>
                    </a:fld>
                    <a:endParaRPr lang="en-US" baseline="0"/>
                  </a:p>
                  <a:p>
                    <a:fld id="{7181DBDC-3245-48B7-9EE3-1B9524559BE3}" type="PERCENTAGE">
                      <a:rPr lang="en-US">
                        <a:solidFill>
                          <a:srgbClr val="FF0000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9C91-4CAA-A1C8-DEB099499AAE}"/>
                </c:ext>
              </c:extLst>
            </c:dLbl>
            <c:dLbl>
              <c:idx val="2"/>
              <c:layout>
                <c:manualLayout>
                  <c:x val="-6.6666666666666666E-2"/>
                  <c:y val="0.11574074074074074"/>
                </c:manualLayout>
              </c:layout>
              <c:tx>
                <c:rich>
                  <a:bodyPr/>
                  <a:lstStyle/>
                  <a:p>
                    <a:fld id="{21B68AC3-B694-4AC4-9015-1A152F92421D}" type="CATEGORYNAME">
                      <a:rPr lang="en-US"/>
                      <a:pPr/>
                      <a:t>[CATEGORY NAME]</a:t>
                    </a:fld>
                    <a:endParaRPr lang="en-US" baseline="0"/>
                  </a:p>
                  <a:p>
                    <a:fld id="{62691740-49C7-4252-A67F-F15461FA4297}" type="VALUE">
                      <a:rPr lang="en-US"/>
                      <a:pPr/>
                      <a:t>[VALUE]</a:t>
                    </a:fld>
                    <a:endParaRPr lang="en-US" baseline="0"/>
                  </a:p>
                  <a:p>
                    <a:fld id="{D84E37EB-A44C-42F2-BC9C-091F86A1F625}" type="PERCENTAGE">
                      <a:rPr lang="en-US">
                        <a:solidFill>
                          <a:srgbClr val="FF0000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9C91-4CAA-A1C8-DEB099499A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PORTFOLIO!$B$9:$D$9</c:f>
              <c:strCache>
                <c:ptCount val="3"/>
                <c:pt idx="0">
                  <c:v>BTC</c:v>
                </c:pt>
                <c:pt idx="1">
                  <c:v>ETH</c:v>
                </c:pt>
                <c:pt idx="2">
                  <c:v>LTC</c:v>
                </c:pt>
              </c:strCache>
            </c:strRef>
          </c:cat>
          <c:val>
            <c:numRef>
              <c:f>PORTFOLIO!$B$14:$D$14</c:f>
              <c:numCache>
                <c:formatCode>_-[$$-409]* #,##0.00_ ;_-[$$-409]* \-#,##0.00\ ;_-[$$-409]* "-"??_ ;_-@_ </c:formatCode>
                <c:ptCount val="3"/>
                <c:pt idx="0">
                  <c:v>240.72959999999998</c:v>
                </c:pt>
                <c:pt idx="1">
                  <c:v>62.815200000000004</c:v>
                </c:pt>
                <c:pt idx="2">
                  <c:v>85.714848000000003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91-4CAA-A1C8-DEB099499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u="sng"/>
              <a:t>Fund ownership</a:t>
            </a:r>
          </a:p>
          <a:p>
            <a:pPr>
              <a:defRPr/>
            </a:pPr>
            <a:endParaRPr lang="en-US" sz="1400" u="sng"/>
          </a:p>
        </c:rich>
      </c:tx>
      <c:layout>
        <c:manualLayout>
          <c:xMode val="edge"/>
          <c:yMode val="edge"/>
          <c:x val="4.9247500977271576E-4"/>
          <c:y val="6.914760472121823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919142958888931"/>
          <c:y val="0.28591190445456616"/>
          <c:w val="0.47359995515635922"/>
          <c:h val="0.44143508700756667"/>
        </c:manualLayout>
      </c:layout>
      <c:pieChart>
        <c:varyColors val="1"/>
        <c:ser>
          <c:idx val="0"/>
          <c:order val="0"/>
          <c:tx>
            <c:v>Fund segmentation (ownership)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B8-45FD-A8AE-E8E59F17AD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8B8-45FD-A8AE-E8E59F17AD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8B8-45FD-A8AE-E8E59F17AD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8B8-45FD-A8AE-E8E59F17AD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8B8-45FD-A8AE-E8E59F17AD5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9A6FE696-59AB-4922-979C-2F83EC527088}" type="CATEGORYNAME">
                      <a:rPr lang="en-US"/>
                      <a:pPr/>
                      <a:t>[CATEGORY NAME]</a:t>
                    </a:fld>
                    <a:endParaRPr lang="en-US" baseline="0"/>
                  </a:p>
                  <a:p>
                    <a:fld id="{53A5E772-76DA-4205-A8B8-5581359CD393}" type="VALUE">
                      <a:rPr lang="en-US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8B8-45FD-A8AE-E8E59F17AD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A1938D-3CB6-4E49-A5EF-3B9AC2D9B1AA}" type="CATEGORYNAME">
                      <a:rPr lang="en-US"/>
                      <a:pPr/>
                      <a:t>[CATEGORY NAME]</a:t>
                    </a:fld>
                    <a:endParaRPr lang="en-US" baseline="0"/>
                  </a:p>
                  <a:p>
                    <a:fld id="{7934E9D3-64FB-4905-A840-3A3534B783FA}" type="VALUE">
                      <a:rPr lang="en-US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58B8-45FD-A8AE-E8E59F17AD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DE5876-523F-424F-9AAD-F932B91182D8}" type="CATEGORYNAME">
                      <a:rPr lang="en-US"/>
                      <a:pPr/>
                      <a:t>[CATEGORY NAME]</a:t>
                    </a:fld>
                    <a:endParaRPr lang="en-US" baseline="0"/>
                  </a:p>
                  <a:p>
                    <a:fld id="{07C2509C-1053-4201-B7C7-BB82A77931EF}" type="VALUE">
                      <a:rPr lang="en-US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8B8-45FD-A8AE-E8E59F17AD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C76842-2A88-4B8B-BF36-AB4F8D211B57}" type="CATEGORYNAME">
                      <a:rPr lang="en-US"/>
                      <a:pPr/>
                      <a:t>[CATEGORY NAME]</a:t>
                    </a:fld>
                    <a:endParaRPr lang="en-US" baseline="0"/>
                  </a:p>
                  <a:p>
                    <a:fld id="{8AF03E3D-EEB3-4BC9-BF94-C72F6B70AEFB}" type="VALUE">
                      <a:rPr lang="en-US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58B8-45FD-A8AE-E8E59F17AD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7635830-8772-425E-AF7F-B1958712FDF2}" type="CATEGORYNAME">
                      <a:rPr lang="en-US"/>
                      <a:pPr/>
                      <a:t>[CATEGORY NAME]</a:t>
                    </a:fld>
                    <a:endParaRPr lang="en-US" baseline="0"/>
                  </a:p>
                  <a:p>
                    <a:fld id="{C280AE98-F028-46C8-AB5B-8C200F1482FF}" type="VALUE">
                      <a:rPr lang="en-US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58B8-45FD-A8AE-E8E59F17AD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'ASSET MANAGEMENT'!$B$3:$F$3</c:f>
              <c:strCache>
                <c:ptCount val="5"/>
                <c:pt idx="0">
                  <c:v>Lorenzo</c:v>
                </c:pt>
                <c:pt idx="1">
                  <c:v>Quinn</c:v>
                </c:pt>
                <c:pt idx="2">
                  <c:v>Tommy</c:v>
                </c:pt>
                <c:pt idx="3">
                  <c:v>Kevin</c:v>
                </c:pt>
                <c:pt idx="4">
                  <c:v>Hai-Son</c:v>
                </c:pt>
              </c:strCache>
            </c:strRef>
          </c:cat>
          <c:val>
            <c:numRef>
              <c:f>'ASSET MANAGEMENT'!$B$7:$F$7</c:f>
              <c:numCache>
                <c:formatCode>0%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B8-45FD-A8AE-E8E59F17A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u="sng"/>
              <a:t>Adjusted return on investment (per capita)</a:t>
            </a:r>
          </a:p>
        </c:rich>
      </c:tx>
      <c:layout>
        <c:manualLayout>
          <c:xMode val="edge"/>
          <c:yMode val="edge"/>
          <c:x val="1.0962076364542024E-2"/>
          <c:y val="4.959229113214781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389384837533608"/>
          <c:y val="0.21691194015186605"/>
          <c:w val="0.70624398950131229"/>
          <c:h val="0.74127893104271059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D1C-4EAD-A36E-519A02DA5CC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1C-4EAD-A36E-519A02DA5CC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D1C-4EAD-A36E-519A02DA5CC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D1C-4EAD-A36E-519A02DA5C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D1C-4EAD-A36E-519A02DA5CC3}"/>
              </c:ext>
            </c:extLst>
          </c:dPt>
          <c:cat>
            <c:strRef>
              <c:f>'ASSET MANAGEMENT'!$B$3:$F$3</c:f>
              <c:strCache>
                <c:ptCount val="5"/>
                <c:pt idx="0">
                  <c:v>Lorenzo</c:v>
                </c:pt>
                <c:pt idx="1">
                  <c:v>Quinn</c:v>
                </c:pt>
                <c:pt idx="2">
                  <c:v>Tommy</c:v>
                </c:pt>
                <c:pt idx="3">
                  <c:v>Kevin</c:v>
                </c:pt>
                <c:pt idx="4">
                  <c:v>Hai-Son</c:v>
                </c:pt>
              </c:strCache>
            </c:strRef>
          </c:cat>
          <c:val>
            <c:numRef>
              <c:f>'ASSET MANAGEMENT'!$I$24:$M$24</c:f>
              <c:numCache>
                <c:formatCode>_-[$$-409]* #,##0.00_ ;_-[$$-409]* \-#,##0.00\ ;_-[$$-409]* "-"??_ ;_-@_ </c:formatCode>
                <c:ptCount val="5"/>
                <c:pt idx="0">
                  <c:v>-22.148070400000002</c:v>
                </c:pt>
                <c:pt idx="1">
                  <c:v>-22.148070400000002</c:v>
                </c:pt>
                <c:pt idx="2">
                  <c:v>-22.148070400000002</c:v>
                </c:pt>
                <c:pt idx="3">
                  <c:v>-22.148070400000002</c:v>
                </c:pt>
                <c:pt idx="4">
                  <c:v>-22.148070400000002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1C-4EAD-A36E-519A02DA5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4457232"/>
        <c:axId val="914456576"/>
      </c:barChart>
      <c:catAx>
        <c:axId val="9144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456576"/>
        <c:crosses val="autoZero"/>
        <c:auto val="1"/>
        <c:lblAlgn val="ctr"/>
        <c:lblOffset val="100"/>
        <c:noMultiLvlLbl val="0"/>
      </c:catAx>
      <c:valAx>
        <c:axId val="91445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4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014142067857957E-2"/>
          <c:y val="0.12935578840476455"/>
          <c:w val="0.9132430877647143"/>
          <c:h val="0.75000839403654884"/>
        </c:manualLayout>
      </c:layout>
      <c:barChart>
        <c:barDir val="col"/>
        <c:grouping val="stacked"/>
        <c:varyColors val="0"/>
        <c:ser>
          <c:idx val="0"/>
          <c:order val="0"/>
          <c:tx>
            <c:v>BTC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&amp; LOSS'!$I$19:$M$19</c:f>
              <c:strCache>
                <c:ptCount val="5"/>
                <c:pt idx="0">
                  <c:v>Lorenzo</c:v>
                </c:pt>
                <c:pt idx="1">
                  <c:v>Quinn</c:v>
                </c:pt>
                <c:pt idx="2">
                  <c:v>Tommy</c:v>
                </c:pt>
                <c:pt idx="3">
                  <c:v>Kevin</c:v>
                </c:pt>
                <c:pt idx="4">
                  <c:v>Hai-Son</c:v>
                </c:pt>
              </c:strCache>
            </c:strRef>
          </c:cat>
          <c:val>
            <c:numRef>
              <c:f>'PROFIT &amp; LOSS'!$I$20:$M$20</c:f>
              <c:numCache>
                <c:formatCode>_-[$$-409]* #,##0.00_ ;_-[$$-409]* \-#,##0.00\ ;_-[$$-409]* "-"??_ ;_-@_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6F-4F6A-A627-7211DEDF1898}"/>
            </c:ext>
          </c:extLst>
        </c:ser>
        <c:ser>
          <c:idx val="1"/>
          <c:order val="1"/>
          <c:tx>
            <c:v>ETH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'PROFIT &amp; LOSS'!$I$21:$M$21</c:f>
              <c:numCache>
                <c:formatCode>_-[$$-409]* #,##0.00_ ;_-[$$-409]* \-#,##0.00\ ;_-[$$-409]* "-"??_ ;_-@_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6F-4F6A-A627-7211DEDF1898}"/>
            </c:ext>
          </c:extLst>
        </c:ser>
        <c:ser>
          <c:idx val="2"/>
          <c:order val="2"/>
          <c:tx>
            <c:v>LTC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'PROFIT &amp; LOSS'!$I$22:$M$22</c:f>
              <c:numCache>
                <c:formatCode>_-[$$-409]* #,##0.00_ ;_-[$$-409]* \-#,##0.00\ ;_-[$$-409]* "-"??_ ;_-@_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6F-4F6A-A627-7211DEDF1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6627968"/>
        <c:axId val="476630592"/>
      </c:barChart>
      <c:catAx>
        <c:axId val="47662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0592"/>
        <c:crosses val="autoZero"/>
        <c:auto val="1"/>
        <c:lblAlgn val="ctr"/>
        <c:lblOffset val="100"/>
        <c:noMultiLvlLbl val="0"/>
      </c:catAx>
      <c:valAx>
        <c:axId val="4766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3507316722396"/>
          <c:y val="3.1201248049921998E-2"/>
          <c:w val="0.12985366555207997"/>
          <c:h val="9.295433234652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9</xdr:row>
      <xdr:rowOff>53340</xdr:rowOff>
    </xdr:from>
    <xdr:to>
      <xdr:col>4</xdr:col>
      <xdr:colOff>792480</xdr:colOff>
      <xdr:row>23</xdr:row>
      <xdr:rowOff>152400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160867</xdr:colOff>
          <xdr:row>4</xdr:row>
          <xdr:rowOff>46567</xdr:rowOff>
        </xdr:from>
        <xdr:to>
          <xdr:col>13</xdr:col>
          <xdr:colOff>723900</xdr:colOff>
          <xdr:row>6</xdr:row>
          <xdr:rowOff>59267</xdr:rowOff>
        </xdr:to>
        <xdr:sp macro="" textlink="">
          <xdr:nvSpPr>
            <xdr:cNvPr id="9219" name="Bou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 </a:t>
              </a:r>
              <a:r>
                <a:rPr lang="en-US" sz="11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Sync. Data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143933</xdr:colOff>
          <xdr:row>4</xdr:row>
          <xdr:rowOff>46567</xdr:rowOff>
        </xdr:from>
        <xdr:to>
          <xdr:col>15</xdr:col>
          <xdr:colOff>516467</xdr:colOff>
          <xdr:row>6</xdr:row>
          <xdr:rowOff>59267</xdr:rowOff>
        </xdr:to>
        <xdr:sp macro="" textlink="">
          <xdr:nvSpPr>
            <xdr:cNvPr id="9220" name="Bou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 </a:t>
              </a:r>
              <a:r>
                <a:rPr lang="en-US" sz="11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Record transaction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2</xdr:row>
          <xdr:rowOff>93133</xdr:rowOff>
        </xdr:from>
        <xdr:to>
          <xdr:col>14</xdr:col>
          <xdr:colOff>397933</xdr:colOff>
          <xdr:row>3</xdr:row>
          <xdr:rowOff>29633</xdr:rowOff>
        </xdr:to>
        <xdr:sp macro="" textlink="">
          <xdr:nvSpPr>
            <xdr:cNvPr id="9221" name="Bou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601133</xdr:colOff>
          <xdr:row>2</xdr:row>
          <xdr:rowOff>93133</xdr:rowOff>
        </xdr:from>
        <xdr:to>
          <xdr:col>13</xdr:col>
          <xdr:colOff>465667</xdr:colOff>
          <xdr:row>3</xdr:row>
          <xdr:rowOff>29633</xdr:rowOff>
        </xdr:to>
        <xdr:sp macro="" textlink="">
          <xdr:nvSpPr>
            <xdr:cNvPr id="9222" name="Bou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457200</xdr:colOff>
          <xdr:row>2</xdr:row>
          <xdr:rowOff>93133</xdr:rowOff>
        </xdr:from>
        <xdr:to>
          <xdr:col>14</xdr:col>
          <xdr:colOff>1113367</xdr:colOff>
          <xdr:row>3</xdr:row>
          <xdr:rowOff>29633</xdr:rowOff>
        </xdr:to>
        <xdr:sp macro="" textlink="">
          <xdr:nvSpPr>
            <xdr:cNvPr id="9223" name="Bou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0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359833</xdr:colOff>
          <xdr:row>1</xdr:row>
          <xdr:rowOff>21167</xdr:rowOff>
        </xdr:from>
        <xdr:to>
          <xdr:col>8</xdr:col>
          <xdr:colOff>550333</xdr:colOff>
          <xdr:row>3</xdr:row>
          <xdr:rowOff>46567</xdr:rowOff>
        </xdr:to>
        <xdr:sp macro="" textlink="">
          <xdr:nvSpPr>
            <xdr:cNvPr id="1025" name="Bou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 </a:t>
              </a:r>
              <a:r>
                <a:rPr lang="en-US" sz="11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Sync. Data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&lt;&lt;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228600</xdr:colOff>
      <xdr:row>6</xdr:row>
      <xdr:rowOff>171450</xdr:rowOff>
    </xdr:from>
    <xdr:to>
      <xdr:col>10</xdr:col>
      <xdr:colOff>449580</xdr:colOff>
      <xdr:row>20</xdr:row>
      <xdr:rowOff>148590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670560</xdr:colOff>
      <xdr:row>6</xdr:row>
      <xdr:rowOff>171450</xdr:rowOff>
    </xdr:from>
    <xdr:to>
      <xdr:col>16</xdr:col>
      <xdr:colOff>533400</xdr:colOff>
      <xdr:row>20</xdr:row>
      <xdr:rowOff>148590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732367</xdr:colOff>
          <xdr:row>1</xdr:row>
          <xdr:rowOff>21167</xdr:rowOff>
        </xdr:from>
        <xdr:to>
          <xdr:col>11</xdr:col>
          <xdr:colOff>135467</xdr:colOff>
          <xdr:row>3</xdr:row>
          <xdr:rowOff>46567</xdr:rowOff>
        </xdr:to>
        <xdr:sp macro="" textlink="">
          <xdr:nvSpPr>
            <xdr:cNvPr id="1026" name="Bou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 </a:t>
              </a:r>
              <a:r>
                <a:rPr lang="en-US" sz="11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Record transaction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829733</xdr:colOff>
          <xdr:row>2</xdr:row>
          <xdr:rowOff>93133</xdr:rowOff>
        </xdr:from>
        <xdr:to>
          <xdr:col>5</xdr:col>
          <xdr:colOff>478367</xdr:colOff>
          <xdr:row>3</xdr:row>
          <xdr:rowOff>38100</xdr:rowOff>
        </xdr:to>
        <xdr:sp macro="" textlink="">
          <xdr:nvSpPr>
            <xdr:cNvPr id="1027" name="Bou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105833</xdr:colOff>
          <xdr:row>2</xdr:row>
          <xdr:rowOff>93133</xdr:rowOff>
        </xdr:from>
        <xdr:to>
          <xdr:col>4</xdr:col>
          <xdr:colOff>762000</xdr:colOff>
          <xdr:row>3</xdr:row>
          <xdr:rowOff>38100</xdr:rowOff>
        </xdr:to>
        <xdr:sp macro="" textlink="">
          <xdr:nvSpPr>
            <xdr:cNvPr id="1028" name="Bou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541867</xdr:colOff>
          <xdr:row>2</xdr:row>
          <xdr:rowOff>93133</xdr:rowOff>
        </xdr:from>
        <xdr:to>
          <xdr:col>5</xdr:col>
          <xdr:colOff>1198033</xdr:colOff>
          <xdr:row>3</xdr:row>
          <xdr:rowOff>38100</xdr:rowOff>
        </xdr:to>
        <xdr:sp macro="" textlink="">
          <xdr:nvSpPr>
            <xdr:cNvPr id="1029" name="Bou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5</xdr:row>
      <xdr:rowOff>175260</xdr:rowOff>
    </xdr:from>
    <xdr:to>
      <xdr:col>15</xdr:col>
      <xdr:colOff>1051560</xdr:colOff>
      <xdr:row>21</xdr:row>
      <xdr:rowOff>167640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182880</xdr:colOff>
      <xdr:row>11</xdr:row>
      <xdr:rowOff>53340</xdr:rowOff>
    </xdr:from>
    <xdr:to>
      <xdr:col>5</xdr:col>
      <xdr:colOff>800100</xdr:colOff>
      <xdr:row>24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740833</xdr:colOff>
          <xdr:row>2</xdr:row>
          <xdr:rowOff>8467</xdr:rowOff>
        </xdr:from>
        <xdr:to>
          <xdr:col>15</xdr:col>
          <xdr:colOff>364067</xdr:colOff>
          <xdr:row>4</xdr:row>
          <xdr:rowOff>67733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 </a:t>
              </a:r>
              <a:r>
                <a:rPr lang="en-US" sz="11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Record transaction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550333</xdr:colOff>
          <xdr:row>0</xdr:row>
          <xdr:rowOff>169333</xdr:rowOff>
        </xdr:from>
        <xdr:to>
          <xdr:col>14</xdr:col>
          <xdr:colOff>1202267</xdr:colOff>
          <xdr:row>1</xdr:row>
          <xdr:rowOff>105833</xdr:rowOff>
        </xdr:to>
        <xdr:sp macro="" textlink="">
          <xdr:nvSpPr>
            <xdr:cNvPr id="5122" name="Bou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618067</xdr:colOff>
          <xdr:row>0</xdr:row>
          <xdr:rowOff>169333</xdr:rowOff>
        </xdr:from>
        <xdr:to>
          <xdr:col>14</xdr:col>
          <xdr:colOff>478367</xdr:colOff>
          <xdr:row>1</xdr:row>
          <xdr:rowOff>105833</xdr:rowOff>
        </xdr:to>
        <xdr:sp macro="" textlink="">
          <xdr:nvSpPr>
            <xdr:cNvPr id="5123" name="Bou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1265767</xdr:colOff>
          <xdr:row>0</xdr:row>
          <xdr:rowOff>169333</xdr:rowOff>
        </xdr:from>
        <xdr:to>
          <xdr:col>15</xdr:col>
          <xdr:colOff>579967</xdr:colOff>
          <xdr:row>1</xdr:row>
          <xdr:rowOff>105833</xdr:rowOff>
        </xdr:to>
        <xdr:sp macro="" textlink="">
          <xdr:nvSpPr>
            <xdr:cNvPr id="5124" name="Bou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465667</xdr:colOff>
          <xdr:row>0</xdr:row>
          <xdr:rowOff>182033</xdr:rowOff>
        </xdr:from>
        <xdr:to>
          <xdr:col>15</xdr:col>
          <xdr:colOff>639233</xdr:colOff>
          <xdr:row>2</xdr:row>
          <xdr:rowOff>198967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 </a:t>
              </a:r>
              <a:r>
                <a:rPr lang="en-US" sz="11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Record transaction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&lt;&lt;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160020</xdr:colOff>
      <xdr:row>13</xdr:row>
      <xdr:rowOff>106680</xdr:rowOff>
    </xdr:from>
    <xdr:to>
      <xdr:col>16</xdr:col>
      <xdr:colOff>579120</xdr:colOff>
      <xdr:row>26</xdr:row>
      <xdr:rowOff>102870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448733</xdr:colOff>
          <xdr:row>0</xdr:row>
          <xdr:rowOff>182033</xdr:rowOff>
        </xdr:from>
        <xdr:to>
          <xdr:col>9</xdr:col>
          <xdr:colOff>114300</xdr:colOff>
          <xdr:row>3</xdr:row>
          <xdr:rowOff>38100</xdr:rowOff>
        </xdr:to>
        <xdr:sp macro="" textlink="">
          <xdr:nvSpPr>
            <xdr:cNvPr id="4098" name="Bou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 </a:t>
              </a:r>
              <a:r>
                <a:rPr lang="en-US" sz="11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Record transaction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&lt;&lt;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1213E-6990-4AAE-B374-84B5AAEDD38F}">
  <sheetPr codeName="Feuil7"/>
  <dimension ref="B1:O42"/>
  <sheetViews>
    <sheetView showGridLines="0" showRowColHeaders="0" tabSelected="1" workbookViewId="0">
      <selection activeCell="L13" sqref="L13"/>
    </sheetView>
  </sheetViews>
  <sheetFormatPr defaultColWidth="11.52734375" defaultRowHeight="15.7" x14ac:dyDescent="0.55000000000000004"/>
  <cols>
    <col min="1" max="1" width="7.1171875" style="35" customWidth="1"/>
    <col min="2" max="2" width="3.3515625" style="35" customWidth="1"/>
    <col min="3" max="3" width="22.52734375" style="35" customWidth="1"/>
    <col min="4" max="4" width="18.52734375" style="35" customWidth="1"/>
    <col min="5" max="5" width="13.3515625" style="35" customWidth="1"/>
    <col min="6" max="6" width="17.3515625" style="35" customWidth="1"/>
    <col min="7" max="7" width="16.234375" style="35" customWidth="1"/>
    <col min="8" max="14" width="11.52734375" style="35"/>
    <col min="15" max="15" width="17.3515625" style="35" bestFit="1" customWidth="1"/>
    <col min="16" max="16384" width="11.52734375" style="35"/>
  </cols>
  <sheetData>
    <row r="1" spans="2:15" x14ac:dyDescent="0.55000000000000004">
      <c r="I1" s="90"/>
      <c r="M1" s="126" t="s">
        <v>75</v>
      </c>
      <c r="O1" s="90">
        <f>PORTFOLIO!$F$1</f>
        <v>43473.600937499999</v>
      </c>
    </row>
    <row r="2" spans="2:15" ht="16" thickBot="1" x14ac:dyDescent="0.6">
      <c r="M2" s="126" t="s">
        <v>44</v>
      </c>
      <c r="O2" s="128">
        <f>PORTFOLIO!$F$2</f>
        <v>3.0324074074074073E-3</v>
      </c>
    </row>
    <row r="3" spans="2:15" ht="16" thickTop="1" x14ac:dyDescent="0.55000000000000004">
      <c r="B3" s="132" t="s">
        <v>52</v>
      </c>
      <c r="C3" s="134"/>
      <c r="D3" s="91" t="s">
        <v>53</v>
      </c>
      <c r="E3" s="132" t="s">
        <v>54</v>
      </c>
      <c r="F3" s="134"/>
      <c r="G3" s="132" t="s">
        <v>55</v>
      </c>
      <c r="H3" s="133"/>
      <c r="I3" s="134"/>
      <c r="J3" s="132" t="s">
        <v>56</v>
      </c>
      <c r="K3" s="133"/>
      <c r="L3" s="134"/>
      <c r="M3" s="35" t="s">
        <v>74</v>
      </c>
    </row>
    <row r="4" spans="2:15" ht="15" customHeight="1" x14ac:dyDescent="0.55000000000000004">
      <c r="B4" s="143" t="s">
        <v>43</v>
      </c>
      <c r="C4" s="144"/>
      <c r="D4" s="147">
        <f>IF(B4="USD",PORTFOLIO!E10,PORTFOLIO!E10*F18)</f>
        <v>500</v>
      </c>
      <c r="F4" s="92"/>
      <c r="G4" s="93" t="s">
        <v>57</v>
      </c>
      <c r="H4" s="94" t="s">
        <v>58</v>
      </c>
      <c r="I4" s="95" t="s">
        <v>59</v>
      </c>
      <c r="J4" s="96"/>
      <c r="K4" s="97" t="s">
        <v>60</v>
      </c>
      <c r="L4" s="98" t="s">
        <v>61</v>
      </c>
    </row>
    <row r="5" spans="2:15" ht="19.2" customHeight="1" x14ac:dyDescent="0.55000000000000004">
      <c r="B5" s="143"/>
      <c r="C5" s="144"/>
      <c r="D5" s="147"/>
      <c r="E5" s="148">
        <f>IF(B4="USD",PORTFOLIO!E14,PORTFOLIO!E14*F18)</f>
        <v>389.25964800000003</v>
      </c>
      <c r="F5" s="149"/>
      <c r="G5" s="150">
        <f>IF(B4="USD",PORTFOLIO!E15,PORTFOLIO!E15*F18)</f>
        <v>-110.74035199999997</v>
      </c>
      <c r="H5" s="99"/>
      <c r="I5" s="100"/>
      <c r="J5" s="101" t="s">
        <v>36</v>
      </c>
      <c r="K5" s="102"/>
      <c r="L5" s="103"/>
    </row>
    <row r="6" spans="2:15" ht="15.6" customHeight="1" x14ac:dyDescent="0.55000000000000004">
      <c r="B6" s="143"/>
      <c r="C6" s="144"/>
      <c r="D6" s="147"/>
      <c r="E6" s="151" t="s">
        <v>62</v>
      </c>
      <c r="F6" s="153">
        <f>PORTFOLIO!F1</f>
        <v>43473.600937499999</v>
      </c>
      <c r="G6" s="150"/>
      <c r="H6" s="99"/>
      <c r="I6" s="100"/>
      <c r="J6" s="101" t="s">
        <v>63</v>
      </c>
      <c r="K6" s="104"/>
      <c r="L6" s="105"/>
    </row>
    <row r="7" spans="2:15" ht="16.2" customHeight="1" thickBot="1" x14ac:dyDescent="0.6">
      <c r="B7" s="145"/>
      <c r="C7" s="146"/>
      <c r="D7" s="106"/>
      <c r="E7" s="152"/>
      <c r="F7" s="154"/>
      <c r="G7" s="130">
        <f>PORTFOLIO!E16</f>
        <v>-0.22148070399999994</v>
      </c>
      <c r="H7" s="107"/>
      <c r="I7" s="108"/>
      <c r="J7" s="109" t="s">
        <v>64</v>
      </c>
      <c r="K7" s="110"/>
      <c r="L7" s="111"/>
    </row>
    <row r="8" spans="2:15" ht="16.350000000000001" thickTop="1" thickBot="1" x14ac:dyDescent="0.6">
      <c r="K8" s="99"/>
      <c r="L8" s="99"/>
      <c r="M8" s="99"/>
    </row>
    <row r="9" spans="2:15" ht="16" thickTop="1" x14ac:dyDescent="0.55000000000000004">
      <c r="B9" s="132" t="s">
        <v>65</v>
      </c>
      <c r="C9" s="133"/>
      <c r="D9" s="133"/>
      <c r="E9" s="134"/>
      <c r="F9" s="132" t="s">
        <v>66</v>
      </c>
      <c r="G9" s="133"/>
      <c r="H9" s="133"/>
      <c r="I9" s="133"/>
      <c r="J9" s="134"/>
    </row>
    <row r="10" spans="2:15" x14ac:dyDescent="0.55000000000000004">
      <c r="B10" s="96"/>
      <c r="C10" s="99"/>
      <c r="D10" s="99"/>
      <c r="E10" s="100"/>
      <c r="F10" s="140" t="s">
        <v>67</v>
      </c>
      <c r="G10" s="138"/>
      <c r="H10" s="138" t="s">
        <v>68</v>
      </c>
      <c r="I10" s="138"/>
      <c r="J10" s="139"/>
    </row>
    <row r="11" spans="2:15" x14ac:dyDescent="0.55000000000000004">
      <c r="B11" s="96"/>
      <c r="C11" s="99"/>
      <c r="D11" s="99"/>
      <c r="E11" s="100"/>
      <c r="F11" s="96"/>
      <c r="G11" s="99"/>
      <c r="H11" s="112" t="s">
        <v>57</v>
      </c>
      <c r="I11" s="112" t="s">
        <v>58</v>
      </c>
      <c r="J11" s="113" t="s">
        <v>59</v>
      </c>
    </row>
    <row r="12" spans="2:15" x14ac:dyDescent="0.55000000000000004">
      <c r="B12" s="96"/>
      <c r="C12" s="99"/>
      <c r="D12" s="99"/>
      <c r="E12" s="100"/>
      <c r="F12" s="114" t="s">
        <v>5</v>
      </c>
      <c r="G12" s="115">
        <f>IF(B4="USD",PORTFOLIO!B6,PORTFOLIO!B6*F18)</f>
        <v>4012.16</v>
      </c>
      <c r="H12" s="116"/>
      <c r="I12" s="99"/>
      <c r="J12" s="100"/>
    </row>
    <row r="13" spans="2:15" x14ac:dyDescent="0.55000000000000004">
      <c r="B13" s="96"/>
      <c r="C13" s="99"/>
      <c r="D13" s="99"/>
      <c r="E13" s="100"/>
      <c r="F13" s="114" t="s">
        <v>6</v>
      </c>
      <c r="G13" s="115">
        <f>IF(B4="USD",PORTFOLIO!C6,PORTFOLIO!C6*F18)</f>
        <v>149.56</v>
      </c>
      <c r="H13" s="116"/>
      <c r="I13" s="99"/>
      <c r="J13" s="100"/>
    </row>
    <row r="14" spans="2:15" x14ac:dyDescent="0.55000000000000004">
      <c r="B14" s="96"/>
      <c r="C14" s="99"/>
      <c r="D14" s="99"/>
      <c r="E14" s="100"/>
      <c r="F14" s="114" t="s">
        <v>7</v>
      </c>
      <c r="G14" s="115">
        <f>IF(B4="USD",PORTFOLIO!D6,PORTFOLIO!D6*F18)</f>
        <v>39.139200000000002</v>
      </c>
      <c r="H14" s="116"/>
      <c r="I14" s="99"/>
      <c r="J14" s="100"/>
    </row>
    <row r="15" spans="2:15" ht="16" thickBot="1" x14ac:dyDescent="0.6">
      <c r="B15" s="96"/>
      <c r="C15" s="99"/>
      <c r="D15" s="99"/>
      <c r="E15" s="100"/>
      <c r="F15" s="117"/>
      <c r="G15" s="118"/>
      <c r="H15" s="119"/>
      <c r="I15" s="107"/>
      <c r="J15" s="108"/>
      <c r="M15" s="127"/>
    </row>
    <row r="16" spans="2:15" ht="16.350000000000001" thickTop="1" thickBot="1" x14ac:dyDescent="0.6">
      <c r="B16" s="96"/>
      <c r="C16" s="99"/>
      <c r="D16" s="99"/>
      <c r="E16" s="100"/>
    </row>
    <row r="17" spans="2:10" ht="16" thickTop="1" x14ac:dyDescent="0.55000000000000004">
      <c r="B17" s="96"/>
      <c r="C17" s="99"/>
      <c r="D17" s="99"/>
      <c r="E17" s="100"/>
      <c r="F17" s="132" t="s">
        <v>69</v>
      </c>
      <c r="G17" s="134"/>
      <c r="H17"/>
      <c r="I17"/>
      <c r="J17"/>
    </row>
    <row r="18" spans="2:10" ht="16" thickBot="1" x14ac:dyDescent="0.6">
      <c r="B18" s="96"/>
      <c r="C18" s="99"/>
      <c r="D18" s="99"/>
      <c r="E18" s="100"/>
      <c r="F18" s="141"/>
      <c r="G18" s="142"/>
      <c r="H18"/>
      <c r="I18"/>
      <c r="J18"/>
    </row>
    <row r="19" spans="2:10" ht="16.350000000000001" thickTop="1" thickBot="1" x14ac:dyDescent="0.6">
      <c r="B19" s="96"/>
      <c r="C19" s="99"/>
      <c r="D19" s="99"/>
      <c r="E19" s="100"/>
    </row>
    <row r="20" spans="2:10" ht="16" thickTop="1" x14ac:dyDescent="0.55000000000000004">
      <c r="B20" s="96"/>
      <c r="C20" s="99"/>
      <c r="D20" s="99"/>
      <c r="E20" s="100"/>
      <c r="F20" s="132" t="s">
        <v>70</v>
      </c>
      <c r="G20" s="133"/>
      <c r="H20" s="133"/>
      <c r="I20" s="133"/>
      <c r="J20" s="134"/>
    </row>
    <row r="21" spans="2:10" x14ac:dyDescent="0.55000000000000004">
      <c r="B21" s="96"/>
      <c r="C21" s="99"/>
      <c r="D21" s="99"/>
      <c r="E21" s="100"/>
      <c r="F21" s="135" t="s">
        <v>71</v>
      </c>
      <c r="G21" s="136"/>
      <c r="H21" s="137" t="s">
        <v>72</v>
      </c>
      <c r="I21" s="138"/>
      <c r="J21" s="139"/>
    </row>
    <row r="22" spans="2:10" ht="16" thickBot="1" x14ac:dyDescent="0.6">
      <c r="B22" s="96"/>
      <c r="C22" s="99"/>
      <c r="D22" s="99"/>
      <c r="E22" s="100"/>
      <c r="F22" s="120" t="str">
        <f>INDEX(PORTFOLIO!B9:D9,1,MATCH(G22,PORTFOLIO!B16:G16,0))</f>
        <v>BTC</v>
      </c>
      <c r="G22" s="121">
        <f>MAX(PORTFOLIO!B16:D16)</f>
        <v>-3.7081600000000096E-2</v>
      </c>
      <c r="H22" s="129" t="str">
        <f>INDEX(PORTFOLIO!B9:D9,1,MATCH(J22,PORTFOLIO!B16:D16,0))</f>
        <v>ETH</v>
      </c>
      <c r="I22" s="122"/>
      <c r="J22" s="123">
        <f>MIN(PORTFOLIO!B16:D16)</f>
        <v>-0.49747839999999999</v>
      </c>
    </row>
    <row r="23" spans="2:10" ht="16" thickTop="1" x14ac:dyDescent="0.55000000000000004">
      <c r="B23" s="96"/>
      <c r="C23" s="99"/>
      <c r="D23" s="99"/>
      <c r="E23" s="100"/>
    </row>
    <row r="24" spans="2:10" ht="16" thickBot="1" x14ac:dyDescent="0.6">
      <c r="B24" s="124"/>
      <c r="C24" s="107"/>
      <c r="D24" s="107"/>
      <c r="E24" s="108"/>
    </row>
    <row r="25" spans="2:10" ht="16" thickTop="1" x14ac:dyDescent="0.55000000000000004"/>
    <row r="40" spans="3:3" x14ac:dyDescent="0.55000000000000004">
      <c r="C40" s="125" t="s">
        <v>73</v>
      </c>
    </row>
    <row r="41" spans="3:3" x14ac:dyDescent="0.55000000000000004">
      <c r="C41" s="125" t="s">
        <v>43</v>
      </c>
    </row>
    <row r="42" spans="3:3" x14ac:dyDescent="0.55000000000000004">
      <c r="C42" s="125"/>
    </row>
  </sheetData>
  <mergeCells count="19">
    <mergeCell ref="B3:C3"/>
    <mergeCell ref="E3:F3"/>
    <mergeCell ref="G3:I3"/>
    <mergeCell ref="J3:L3"/>
    <mergeCell ref="B4:C7"/>
    <mergeCell ref="D4:D6"/>
    <mergeCell ref="E5:F5"/>
    <mergeCell ref="G5:G6"/>
    <mergeCell ref="E6:E7"/>
    <mergeCell ref="F6:F7"/>
    <mergeCell ref="F20:J20"/>
    <mergeCell ref="F21:G21"/>
    <mergeCell ref="H21:J21"/>
    <mergeCell ref="B9:E9"/>
    <mergeCell ref="F9:J9"/>
    <mergeCell ref="F10:G10"/>
    <mergeCell ref="H10:J10"/>
    <mergeCell ref="F17:G17"/>
    <mergeCell ref="F18:G18"/>
  </mergeCells>
  <conditionalFormatting sqref="G5 G7">
    <cfRule type="cellIs" dxfId="11" priority="4" operator="greaterThan">
      <formula>0</formula>
    </cfRule>
  </conditionalFormatting>
  <conditionalFormatting sqref="G5:G7">
    <cfRule type="cellIs" dxfId="10" priority="1" operator="lessThan">
      <formula>0</formula>
    </cfRule>
    <cfRule type="cellIs" dxfId="9" priority="2" operator="equal">
      <formula>0</formula>
    </cfRule>
  </conditionalFormatting>
  <dataValidations count="1">
    <dataValidation type="list" allowBlank="1" showInputMessage="1" showErrorMessage="1" sqref="B4:C7" xr:uid="{A960DA91-3157-40D9-A1A7-05972F960FEC}">
      <formula1>$C$40:$C$41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outon 3">
              <controlPr defaultSize="0" print="0" autoFill="0" autoPict="0" macro="[0]!ManualUpdate">
                <anchor moveWithCells="1" sizeWithCells="1">
                  <from>
                    <xdr:col>12</xdr:col>
                    <xdr:colOff>160867</xdr:colOff>
                    <xdr:row>4</xdr:row>
                    <xdr:rowOff>46567</xdr:rowOff>
                  </from>
                  <to>
                    <xdr:col>13</xdr:col>
                    <xdr:colOff>723900</xdr:colOff>
                    <xdr:row>6</xdr:row>
                    <xdr:rowOff>59267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outon 4">
              <controlPr defaultSize="0" print="0" autoFill="0" autoPict="0" macro="[0]!DispBS">
                <anchor moveWithCells="1" sizeWithCells="1">
                  <from>
                    <xdr:col>14</xdr:col>
                    <xdr:colOff>143933</xdr:colOff>
                    <xdr:row>4</xdr:row>
                    <xdr:rowOff>46567</xdr:rowOff>
                  </from>
                  <to>
                    <xdr:col>15</xdr:col>
                    <xdr:colOff>516467</xdr:colOff>
                    <xdr:row>6</xdr:row>
                    <xdr:rowOff>59267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outon 5">
              <controlPr defaultSize="0" print="0" autoFill="0" autoPict="0" macro="[0]!LaunchChrono">
                <anchor moveWithCells="1" sizeWithCells="1">
                  <from>
                    <xdr:col>13</xdr:col>
                    <xdr:colOff>533400</xdr:colOff>
                    <xdr:row>2</xdr:row>
                    <xdr:rowOff>93133</xdr:rowOff>
                  </from>
                  <to>
                    <xdr:col>14</xdr:col>
                    <xdr:colOff>397933</xdr:colOff>
                    <xdr:row>3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outon 6">
              <controlPr defaultSize="0" print="0" autoFill="0" autoPict="0" macro="[0]!ChronoSettings">
                <anchor moveWithCells="1" sizeWithCells="1">
                  <from>
                    <xdr:col>12</xdr:col>
                    <xdr:colOff>601133</xdr:colOff>
                    <xdr:row>2</xdr:row>
                    <xdr:rowOff>93133</xdr:rowOff>
                  </from>
                  <to>
                    <xdr:col>13</xdr:col>
                    <xdr:colOff>465667</xdr:colOff>
                    <xdr:row>3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outon 7">
              <controlPr defaultSize="0" print="0" autoFill="0" autoPict="0" macro="[0]!PauseChrono">
                <anchor moveWithCells="1" sizeWithCells="1">
                  <from>
                    <xdr:col>14</xdr:col>
                    <xdr:colOff>457200</xdr:colOff>
                    <xdr:row>2</xdr:row>
                    <xdr:rowOff>93133</xdr:rowOff>
                  </from>
                  <to>
                    <xdr:col>14</xdr:col>
                    <xdr:colOff>1113367</xdr:colOff>
                    <xdr:row>3</xdr:row>
                    <xdr:rowOff>29633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EC260342-2C05-4A7E-9575-BFE422CCEE3B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G7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663-682C-4EDD-9BD4-3781D5BA8477}">
  <sheetPr codeName="Feuil2"/>
  <dimension ref="A1:F20"/>
  <sheetViews>
    <sheetView showGridLines="0" showRowColHeaders="0" workbookViewId="0">
      <selection activeCell="B16" sqref="B16"/>
    </sheetView>
  </sheetViews>
  <sheetFormatPr defaultColWidth="11.41015625" defaultRowHeight="14.35" x14ac:dyDescent="0.5"/>
  <cols>
    <col min="1" max="1" width="16.64453125" style="4" bestFit="1" customWidth="1"/>
    <col min="2" max="2" width="12.87890625" style="4" customWidth="1"/>
    <col min="3" max="4" width="11.41015625" style="4"/>
    <col min="5" max="5" width="14.64453125" style="4" bestFit="1" customWidth="1"/>
    <col min="6" max="6" width="17.64453125" style="4" bestFit="1" customWidth="1"/>
    <col min="7" max="16384" width="11.41015625" style="4"/>
  </cols>
  <sheetData>
    <row r="1" spans="1:6" ht="16" thickBot="1" x14ac:dyDescent="0.6">
      <c r="A1" s="2" t="s">
        <v>10</v>
      </c>
      <c r="B1" s="3" t="s">
        <v>11</v>
      </c>
      <c r="E1" s="5" t="s">
        <v>21</v>
      </c>
      <c r="F1" s="6">
        <v>43473.600937499999</v>
      </c>
    </row>
    <row r="2" spans="1:6" ht="18.350000000000001" thickBot="1" x14ac:dyDescent="0.65">
      <c r="A2" s="155" t="s">
        <v>9</v>
      </c>
      <c r="B2" s="156"/>
      <c r="C2" s="156"/>
      <c r="D2" s="157"/>
      <c r="E2" s="1" t="s">
        <v>44</v>
      </c>
      <c r="F2" s="86">
        <v>3.0324074074074073E-3</v>
      </c>
    </row>
    <row r="3" spans="1:6" ht="15.7" x14ac:dyDescent="0.55000000000000004">
      <c r="A3" s="7" t="s">
        <v>4</v>
      </c>
      <c r="B3" s="8" t="s">
        <v>5</v>
      </c>
      <c r="C3" s="8" t="s">
        <v>6</v>
      </c>
      <c r="D3" s="8" t="s">
        <v>7</v>
      </c>
    </row>
    <row r="4" spans="1:6" ht="16" thickBot="1" x14ac:dyDescent="0.6">
      <c r="A4" s="9" t="s">
        <v>8</v>
      </c>
      <c r="B4" s="10" t="s">
        <v>2</v>
      </c>
      <c r="C4" s="10" t="s">
        <v>1</v>
      </c>
      <c r="D4" s="10" t="s">
        <v>0</v>
      </c>
    </row>
    <row r="5" spans="1:6" ht="14.7" thickBot="1" x14ac:dyDescent="0.55000000000000004">
      <c r="A5" s="11"/>
      <c r="B5" s="12"/>
      <c r="C5" s="12"/>
      <c r="D5" s="12"/>
    </row>
    <row r="6" spans="1:6" ht="16" thickBot="1" x14ac:dyDescent="0.6">
      <c r="A6" s="57" t="s">
        <v>12</v>
      </c>
      <c r="B6" s="53">
        <v>4012.16</v>
      </c>
      <c r="C6" s="53">
        <v>149.56</v>
      </c>
      <c r="D6" s="53">
        <v>39.139200000000002</v>
      </c>
    </row>
    <row r="7" spans="1:6" ht="14.7" thickBot="1" x14ac:dyDescent="0.55000000000000004"/>
    <row r="8" spans="1:6" ht="18.350000000000001" thickBot="1" x14ac:dyDescent="0.65">
      <c r="A8" s="158" t="s">
        <v>29</v>
      </c>
      <c r="B8" s="159"/>
      <c r="C8" s="159"/>
      <c r="D8" s="159"/>
      <c r="E8" s="160"/>
    </row>
    <row r="9" spans="1:6" ht="14.7" thickBot="1" x14ac:dyDescent="0.55000000000000004">
      <c r="A9" s="13"/>
      <c r="B9" s="14" t="s">
        <v>2</v>
      </c>
      <c r="C9" s="14" t="s">
        <v>1</v>
      </c>
      <c r="D9" s="14" t="s">
        <v>0</v>
      </c>
      <c r="E9" s="15" t="s">
        <v>19</v>
      </c>
    </row>
    <row r="10" spans="1:6" ht="15.7" x14ac:dyDescent="0.55000000000000004">
      <c r="A10" s="16" t="s">
        <v>3</v>
      </c>
      <c r="B10" s="17">
        <f>SUM('ASSET MANAGEMENT'!I6:M6)</f>
        <v>250</v>
      </c>
      <c r="C10" s="17">
        <f>SUM('ASSET MANAGEMENT'!I12:M12)</f>
        <v>125</v>
      </c>
      <c r="D10" s="17">
        <f>SUM('ASSET MANAGEMENT'!I18:M18)</f>
        <v>125</v>
      </c>
      <c r="E10" s="18">
        <f>SUM(B10:D10)</f>
        <v>500</v>
      </c>
    </row>
    <row r="11" spans="1:6" ht="15.7" x14ac:dyDescent="0.55000000000000004">
      <c r="A11" s="54" t="s">
        <v>13</v>
      </c>
      <c r="B11" s="55">
        <f>SUM('ASSET MANAGEMENT'!I7:M7)</f>
        <v>0.06</v>
      </c>
      <c r="C11" s="55">
        <f>SUM('ASSET MANAGEMENT'!I13:M13)</f>
        <v>0.42000000000000004</v>
      </c>
      <c r="D11" s="55">
        <f>SUM('ASSET MANAGEMENT'!I19:M19)</f>
        <v>2.19</v>
      </c>
      <c r="E11" s="56">
        <f>SUM(B11:D11)</f>
        <v>2.67</v>
      </c>
    </row>
    <row r="12" spans="1:6" ht="15.7" x14ac:dyDescent="0.55000000000000004">
      <c r="A12" s="9" t="s">
        <v>14</v>
      </c>
      <c r="B12" s="19">
        <f>B10/B11</f>
        <v>4166.666666666667</v>
      </c>
      <c r="C12" s="19">
        <f>C10/C11</f>
        <v>297.61904761904759</v>
      </c>
      <c r="D12" s="20">
        <f>D10/D11</f>
        <v>57.077625570776256</v>
      </c>
      <c r="E12" s="21" t="s">
        <v>20</v>
      </c>
    </row>
    <row r="13" spans="1:6" ht="15.7" x14ac:dyDescent="0.55000000000000004">
      <c r="A13" s="22" t="s">
        <v>15</v>
      </c>
      <c r="B13" s="23">
        <f>B10/$E$10</f>
        <v>0.5</v>
      </c>
      <c r="C13" s="23">
        <f t="shared" ref="C13:D13" si="0">C10/$E$10</f>
        <v>0.25</v>
      </c>
      <c r="D13" s="23">
        <f t="shared" si="0"/>
        <v>0.25</v>
      </c>
      <c r="E13" s="21" t="s">
        <v>20</v>
      </c>
    </row>
    <row r="14" spans="1:6" ht="17.7" x14ac:dyDescent="0.85">
      <c r="A14" s="24" t="s">
        <v>16</v>
      </c>
      <c r="B14" s="25">
        <f>B11*B6</f>
        <v>240.72959999999998</v>
      </c>
      <c r="C14" s="25">
        <f>C11*C6</f>
        <v>62.815200000000004</v>
      </c>
      <c r="D14" s="25">
        <f t="shared" ref="D14" si="1">D11*D6</f>
        <v>85.714848000000003</v>
      </c>
      <c r="E14" s="26">
        <f>SUM(B14:D14)</f>
        <v>389.25964800000003</v>
      </c>
    </row>
    <row r="15" spans="1:6" ht="15.7" x14ac:dyDescent="0.55000000000000004">
      <c r="A15" s="7" t="s">
        <v>17</v>
      </c>
      <c r="B15" s="27">
        <f>B14-B10</f>
        <v>-9.2704000000000235</v>
      </c>
      <c r="C15" s="27">
        <f t="shared" ref="C15:E15" si="2">C14-C10</f>
        <v>-62.184799999999996</v>
      </c>
      <c r="D15" s="27">
        <f>D14-D10</f>
        <v>-39.285151999999997</v>
      </c>
      <c r="E15" s="27">
        <f t="shared" si="2"/>
        <v>-110.74035199999997</v>
      </c>
    </row>
    <row r="16" spans="1:6" ht="16" thickBot="1" x14ac:dyDescent="0.6">
      <c r="A16" s="28" t="s">
        <v>18</v>
      </c>
      <c r="B16" s="131">
        <f>B15/B10</f>
        <v>-3.7081600000000096E-2</v>
      </c>
      <c r="C16" s="131">
        <f>C15/C10</f>
        <v>-0.49747839999999999</v>
      </c>
      <c r="D16" s="131">
        <f t="shared" ref="D16:E16" si="3">D15/D10</f>
        <v>-0.31428121599999997</v>
      </c>
      <c r="E16" s="131">
        <f t="shared" si="3"/>
        <v>-0.22148070399999994</v>
      </c>
    </row>
    <row r="17" spans="4:6" x14ac:dyDescent="0.5">
      <c r="D17" s="29"/>
    </row>
    <row r="20" spans="4:6" x14ac:dyDescent="0.5">
      <c r="F20" s="30"/>
    </row>
  </sheetData>
  <mergeCells count="2">
    <mergeCell ref="A2:D2"/>
    <mergeCell ref="A8:E8"/>
  </mergeCells>
  <conditionalFormatting sqref="B15:E16">
    <cfRule type="cellIs" dxfId="8" priority="2" operator="lessThan">
      <formula>0</formula>
    </cfRule>
    <cfRule type="cellIs" dxfId="7" priority="3" operator="greaterThan">
      <formula>0</formula>
    </cfRule>
    <cfRule type="cellIs" dxfId="6" priority="4" operator="equal">
      <formula>0</formula>
    </cfRule>
  </conditionalFormatting>
  <conditionalFormatting sqref="E15:E16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uton 1">
              <controlPr defaultSize="0" print="0" autoFill="0" autoPict="0" macro="[0]!ManualUpdate">
                <anchor moveWithCells="1" sizeWithCells="1">
                  <from>
                    <xdr:col>6</xdr:col>
                    <xdr:colOff>359833</xdr:colOff>
                    <xdr:row>1</xdr:row>
                    <xdr:rowOff>21167</xdr:rowOff>
                  </from>
                  <to>
                    <xdr:col>8</xdr:col>
                    <xdr:colOff>550333</xdr:colOff>
                    <xdr:row>3</xdr:row>
                    <xdr:rowOff>46567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outon 2">
              <controlPr defaultSize="0" print="0" autoFill="0" autoPict="0" macro="[0]!DispBS">
                <anchor moveWithCells="1" sizeWithCells="1">
                  <from>
                    <xdr:col>8</xdr:col>
                    <xdr:colOff>732367</xdr:colOff>
                    <xdr:row>1</xdr:row>
                    <xdr:rowOff>21167</xdr:rowOff>
                  </from>
                  <to>
                    <xdr:col>11</xdr:col>
                    <xdr:colOff>135467</xdr:colOff>
                    <xdr:row>3</xdr:row>
                    <xdr:rowOff>46567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outon 3">
              <controlPr defaultSize="0" print="0" autoFill="0" autoPict="0" macro="[0]!LaunchChrono">
                <anchor moveWithCells="1" sizeWithCells="1">
                  <from>
                    <xdr:col>4</xdr:col>
                    <xdr:colOff>829733</xdr:colOff>
                    <xdr:row>2</xdr:row>
                    <xdr:rowOff>93133</xdr:rowOff>
                  </from>
                  <to>
                    <xdr:col>5</xdr:col>
                    <xdr:colOff>478367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outon 4">
              <controlPr defaultSize="0" print="0" autoFill="0" autoPict="0" macro="[0]!ChronoSettings">
                <anchor moveWithCells="1" sizeWithCells="1">
                  <from>
                    <xdr:col>4</xdr:col>
                    <xdr:colOff>105833</xdr:colOff>
                    <xdr:row>2</xdr:row>
                    <xdr:rowOff>93133</xdr:rowOff>
                  </from>
                  <to>
                    <xdr:col>4</xdr:col>
                    <xdr:colOff>762000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outon 5">
              <controlPr defaultSize="0" print="0" autoFill="0" autoPict="0" macro="[0]!PauseChrono">
                <anchor moveWithCells="1" sizeWithCells="1">
                  <from>
                    <xdr:col>5</xdr:col>
                    <xdr:colOff>541867</xdr:colOff>
                    <xdr:row>2</xdr:row>
                    <xdr:rowOff>93133</xdr:rowOff>
                  </from>
                  <to>
                    <xdr:col>5</xdr:col>
                    <xdr:colOff>1198033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0665A-2698-4759-B087-A5A334AC7059}">
  <sheetPr codeName="Feuil4"/>
  <dimension ref="A1:Y54"/>
  <sheetViews>
    <sheetView showGridLines="0" showRowColHeaders="0" zoomScaleNormal="100" workbookViewId="0">
      <selection activeCell="O25" sqref="O25"/>
    </sheetView>
  </sheetViews>
  <sheetFormatPr defaultColWidth="11.52734375" defaultRowHeight="14.35" x14ac:dyDescent="0.5"/>
  <cols>
    <col min="1" max="1" width="16.87890625" style="58" bestFit="1" customWidth="1"/>
    <col min="2" max="2" width="13.41015625" style="58" customWidth="1"/>
    <col min="3" max="3" width="13.41015625" style="58" bestFit="1" customWidth="1"/>
    <col min="4" max="4" width="12.41015625" style="58" customWidth="1"/>
    <col min="5" max="6" width="13.41015625" style="58" bestFit="1" customWidth="1"/>
    <col min="7" max="7" width="3.87890625" style="58" customWidth="1"/>
    <col min="8" max="8" width="16.87890625" style="58" bestFit="1" customWidth="1"/>
    <col min="9" max="14" width="11.52734375" style="58"/>
    <col min="15" max="15" width="19.52734375" style="58" bestFit="1" customWidth="1"/>
    <col min="16" max="16" width="22.3515625" style="58" bestFit="1" customWidth="1"/>
    <col min="17" max="17" width="12.3515625" style="58" bestFit="1" customWidth="1"/>
    <col min="18" max="18" width="4.234375" style="58" bestFit="1" customWidth="1"/>
    <col min="19" max="19" width="15.3515625" style="58" bestFit="1" customWidth="1"/>
    <col min="20" max="20" width="4" style="58" bestFit="1" customWidth="1"/>
    <col min="21" max="21" width="3.87890625" style="58" bestFit="1" customWidth="1"/>
    <col min="22" max="22" width="5.76171875" style="58" bestFit="1" customWidth="1"/>
    <col min="23" max="23" width="8.3515625" style="58" bestFit="1" customWidth="1"/>
    <col min="24" max="24" width="5.87890625" style="58" bestFit="1" customWidth="1"/>
    <col min="25" max="25" width="11.87890625" style="58" bestFit="1" customWidth="1"/>
    <col min="26" max="16384" width="11.52734375" style="58"/>
  </cols>
  <sheetData>
    <row r="1" spans="1:18" ht="16" thickBot="1" x14ac:dyDescent="0.6">
      <c r="A1" s="1" t="s">
        <v>30</v>
      </c>
      <c r="B1" s="162">
        <f>PORTFOLIO!F1</f>
        <v>43473.600937499999</v>
      </c>
      <c r="C1" s="162"/>
      <c r="D1" s="161" t="s">
        <v>44</v>
      </c>
      <c r="E1" s="161"/>
      <c r="F1" s="85">
        <f>PORTFOLIO!$F$2</f>
        <v>3.0324074074074073E-3</v>
      </c>
    </row>
    <row r="2" spans="1:18" ht="18.350000000000001" thickBot="1" x14ac:dyDescent="0.65">
      <c r="A2" s="158" t="s">
        <v>28</v>
      </c>
      <c r="B2" s="159"/>
      <c r="C2" s="159"/>
      <c r="D2" s="159"/>
      <c r="E2" s="159"/>
      <c r="F2" s="160"/>
      <c r="H2" s="158" t="s">
        <v>45</v>
      </c>
      <c r="I2" s="159"/>
      <c r="J2" s="159"/>
      <c r="K2" s="159"/>
      <c r="L2" s="159"/>
      <c r="M2" s="160"/>
    </row>
    <row r="3" spans="1:18" ht="16" thickBot="1" x14ac:dyDescent="0.6">
      <c r="A3" s="59" t="s">
        <v>22</v>
      </c>
      <c r="B3" s="60" t="s">
        <v>23</v>
      </c>
      <c r="C3" s="60" t="s">
        <v>24</v>
      </c>
      <c r="D3" s="60" t="s">
        <v>25</v>
      </c>
      <c r="E3" s="60" t="s">
        <v>26</v>
      </c>
      <c r="F3" s="60" t="s">
        <v>27</v>
      </c>
      <c r="H3" s="59" t="s">
        <v>22</v>
      </c>
      <c r="I3" s="60" t="s">
        <v>23</v>
      </c>
      <c r="J3" s="60" t="s">
        <v>24</v>
      </c>
      <c r="K3" s="60" t="s">
        <v>25</v>
      </c>
      <c r="L3" s="60" t="s">
        <v>26</v>
      </c>
      <c r="M3" s="60" t="s">
        <v>27</v>
      </c>
    </row>
    <row r="4" spans="1:18" ht="14.7" thickBot="1" x14ac:dyDescent="0.55000000000000004"/>
    <row r="5" spans="1:18" ht="18.350000000000001" thickBot="1" x14ac:dyDescent="0.65">
      <c r="A5" s="158" t="s">
        <v>46</v>
      </c>
      <c r="B5" s="159"/>
      <c r="C5" s="159"/>
      <c r="D5" s="159"/>
      <c r="E5" s="159"/>
      <c r="F5" s="160"/>
      <c r="H5" s="163" t="s">
        <v>2</v>
      </c>
      <c r="I5" s="164"/>
      <c r="J5" s="164"/>
      <c r="K5" s="164"/>
      <c r="L5" s="164"/>
      <c r="M5" s="165"/>
    </row>
    <row r="6" spans="1:18" ht="15.7" x14ac:dyDescent="0.55000000000000004">
      <c r="A6" s="61" t="s">
        <v>3</v>
      </c>
      <c r="B6" s="62">
        <f>I6+I12+I18</f>
        <v>100</v>
      </c>
      <c r="C6" s="62">
        <f>J6+J12+J18</f>
        <v>100</v>
      </c>
      <c r="D6" s="62">
        <f t="shared" ref="D6:F6" si="0">K6+K12+K18</f>
        <v>100</v>
      </c>
      <c r="E6" s="62">
        <f t="shared" si="0"/>
        <v>100</v>
      </c>
      <c r="F6" s="62">
        <f t="shared" si="0"/>
        <v>100</v>
      </c>
      <c r="H6" s="61" t="s">
        <v>3</v>
      </c>
      <c r="I6" s="62">
        <v>50</v>
      </c>
      <c r="J6" s="62">
        <v>50</v>
      </c>
      <c r="K6" s="62">
        <v>50</v>
      </c>
      <c r="L6" s="62">
        <v>50</v>
      </c>
      <c r="M6" s="62">
        <v>50</v>
      </c>
    </row>
    <row r="7" spans="1:18" ht="15.7" x14ac:dyDescent="0.55000000000000004">
      <c r="A7" s="63" t="s">
        <v>15</v>
      </c>
      <c r="B7" s="64">
        <f>B6/SUM($B$6:$F$6)</f>
        <v>0.2</v>
      </c>
      <c r="C7" s="64">
        <f>C6/SUM($B$6:$F$6)</f>
        <v>0.2</v>
      </c>
      <c r="D7" s="64">
        <f t="shared" ref="D7:E7" si="1">D6/SUM($B$6:$F$6)</f>
        <v>0.2</v>
      </c>
      <c r="E7" s="64">
        <f t="shared" si="1"/>
        <v>0.2</v>
      </c>
      <c r="F7" s="64">
        <f>F6/SUM($B$6:$F$6)</f>
        <v>0.2</v>
      </c>
      <c r="H7" s="65" t="s">
        <v>13</v>
      </c>
      <c r="I7" s="66">
        <v>1.2E-2</v>
      </c>
      <c r="J7" s="66">
        <v>1.2E-2</v>
      </c>
      <c r="K7" s="66">
        <v>1.2E-2</v>
      </c>
      <c r="L7" s="66">
        <v>1.2E-2</v>
      </c>
      <c r="M7" s="66">
        <v>1.2E-2</v>
      </c>
    </row>
    <row r="8" spans="1:18" ht="15.7" x14ac:dyDescent="0.55000000000000004">
      <c r="A8" s="67" t="s">
        <v>16</v>
      </c>
      <c r="B8" s="68">
        <f>PORTFOLIO!$E$14*'ASSET MANAGEMENT'!B7</f>
        <v>77.851929600000005</v>
      </c>
      <c r="C8" s="68">
        <f>PORTFOLIO!$E$14*'ASSET MANAGEMENT'!C7</f>
        <v>77.851929600000005</v>
      </c>
      <c r="D8" s="68">
        <f>PORTFOLIO!$E$14*'ASSET MANAGEMENT'!D7</f>
        <v>77.851929600000005</v>
      </c>
      <c r="E8" s="68">
        <f>PORTFOLIO!$E$14*'ASSET MANAGEMENT'!E7</f>
        <v>77.851929600000005</v>
      </c>
      <c r="F8" s="68">
        <f>PORTFOLIO!$E$14*'ASSET MANAGEMENT'!F7</f>
        <v>77.851929600000005</v>
      </c>
      <c r="H8" s="69" t="s">
        <v>16</v>
      </c>
      <c r="I8" s="68">
        <f>I7*PORTFOLIO!$B$6</f>
        <v>48.145919999999997</v>
      </c>
      <c r="J8" s="68">
        <f>J7*PORTFOLIO!$B$6</f>
        <v>48.145919999999997</v>
      </c>
      <c r="K8" s="68">
        <f>K7*PORTFOLIO!$B$6</f>
        <v>48.145919999999997</v>
      </c>
      <c r="L8" s="68">
        <f>L7*PORTFOLIO!$B$6</f>
        <v>48.145919999999997</v>
      </c>
      <c r="M8" s="68">
        <f>M7*PORTFOLIO!$B$6</f>
        <v>48.145919999999997</v>
      </c>
    </row>
    <row r="9" spans="1:18" ht="15.7" x14ac:dyDescent="0.55000000000000004">
      <c r="A9" s="70" t="s">
        <v>17</v>
      </c>
      <c r="B9" s="27">
        <f>B8-B6</f>
        <v>-22.148070399999995</v>
      </c>
      <c r="C9" s="27">
        <f>C8-C6</f>
        <v>-22.148070399999995</v>
      </c>
      <c r="D9" s="27">
        <f t="shared" ref="D9:F9" si="2">D8-D6</f>
        <v>-22.148070399999995</v>
      </c>
      <c r="E9" s="27">
        <f t="shared" si="2"/>
        <v>-22.148070399999995</v>
      </c>
      <c r="F9" s="27">
        <f t="shared" si="2"/>
        <v>-22.148070399999995</v>
      </c>
      <c r="H9" s="70" t="s">
        <v>17</v>
      </c>
      <c r="I9" s="27">
        <f>I8-I6</f>
        <v>-1.8540800000000033</v>
      </c>
      <c r="J9" s="27">
        <f t="shared" ref="J9:M9" si="3">J8-J6</f>
        <v>-1.8540800000000033</v>
      </c>
      <c r="K9" s="27">
        <f t="shared" si="3"/>
        <v>-1.8540800000000033</v>
      </c>
      <c r="L9" s="27">
        <f t="shared" si="3"/>
        <v>-1.8540800000000033</v>
      </c>
      <c r="M9" s="27">
        <f t="shared" si="3"/>
        <v>-1.8540800000000033</v>
      </c>
    </row>
    <row r="10" spans="1:18" ht="16" thickBot="1" x14ac:dyDescent="0.6">
      <c r="A10" s="71" t="s">
        <v>18</v>
      </c>
      <c r="B10" s="72">
        <f>B9/B6</f>
        <v>-0.22148070399999994</v>
      </c>
      <c r="C10" s="72">
        <f t="shared" ref="C10:F10" si="4">C9/C6</f>
        <v>-0.22148070399999994</v>
      </c>
      <c r="D10" s="72">
        <f t="shared" si="4"/>
        <v>-0.22148070399999994</v>
      </c>
      <c r="E10" s="72">
        <f>E9/E6</f>
        <v>-0.22148070399999994</v>
      </c>
      <c r="F10" s="72">
        <f t="shared" si="4"/>
        <v>-0.22148070399999994</v>
      </c>
      <c r="H10" s="71" t="s">
        <v>18</v>
      </c>
      <c r="I10" s="72">
        <f>I9/I6</f>
        <v>-3.7081600000000069E-2</v>
      </c>
      <c r="J10" s="72">
        <f t="shared" ref="J10:M10" si="5">J9/J6</f>
        <v>-3.7081600000000069E-2</v>
      </c>
      <c r="K10" s="72">
        <f t="shared" si="5"/>
        <v>-3.7081600000000069E-2</v>
      </c>
      <c r="L10" s="72">
        <f t="shared" si="5"/>
        <v>-3.7081600000000069E-2</v>
      </c>
      <c r="M10" s="72">
        <f t="shared" si="5"/>
        <v>-3.7081600000000069E-2</v>
      </c>
    </row>
    <row r="11" spans="1:18" ht="18.350000000000001" thickBot="1" x14ac:dyDescent="0.65">
      <c r="H11" s="163" t="s">
        <v>1</v>
      </c>
      <c r="I11" s="164"/>
      <c r="J11" s="164"/>
      <c r="K11" s="164"/>
      <c r="L11" s="164"/>
      <c r="M11" s="165"/>
    </row>
    <row r="12" spans="1:18" ht="15.7" x14ac:dyDescent="0.55000000000000004">
      <c r="H12" s="73" t="s">
        <v>3</v>
      </c>
      <c r="I12" s="62">
        <v>25</v>
      </c>
      <c r="J12" s="62">
        <v>25</v>
      </c>
      <c r="K12" s="62">
        <v>25</v>
      </c>
      <c r="L12" s="62">
        <v>25</v>
      </c>
      <c r="M12" s="62">
        <v>25</v>
      </c>
    </row>
    <row r="13" spans="1:18" ht="15.7" x14ac:dyDescent="0.55000000000000004">
      <c r="H13" s="65" t="s">
        <v>13</v>
      </c>
      <c r="I13" s="63">
        <v>8.4000000000000005E-2</v>
      </c>
      <c r="J13" s="63">
        <v>8.4000000000000005E-2</v>
      </c>
      <c r="K13" s="63">
        <v>8.4000000000000005E-2</v>
      </c>
      <c r="L13" s="63">
        <v>8.4000000000000005E-2</v>
      </c>
      <c r="M13" s="63">
        <v>8.4000000000000005E-2</v>
      </c>
    </row>
    <row r="14" spans="1:18" ht="15.7" x14ac:dyDescent="0.55000000000000004">
      <c r="H14" s="69" t="s">
        <v>16</v>
      </c>
      <c r="I14" s="68">
        <f>I13*PORTFOLIO!$C$6</f>
        <v>12.563040000000001</v>
      </c>
      <c r="J14" s="68">
        <f>J13*PORTFOLIO!$C$6</f>
        <v>12.563040000000001</v>
      </c>
      <c r="K14" s="68">
        <f>K13*PORTFOLIO!$C$6</f>
        <v>12.563040000000001</v>
      </c>
      <c r="L14" s="68">
        <f>L13*PORTFOLIO!$C$6</f>
        <v>12.563040000000001</v>
      </c>
      <c r="M14" s="68">
        <f>M13*PORTFOLIO!$C$6</f>
        <v>12.563040000000001</v>
      </c>
      <c r="P14"/>
      <c r="Q14"/>
    </row>
    <row r="15" spans="1:18" ht="15.7" x14ac:dyDescent="0.55000000000000004">
      <c r="H15" s="70" t="s">
        <v>17</v>
      </c>
      <c r="I15" s="27">
        <f>I14-I12</f>
        <v>-12.436959999999999</v>
      </c>
      <c r="J15" s="27">
        <f t="shared" ref="J15:M15" si="6">J14-J12</f>
        <v>-12.436959999999999</v>
      </c>
      <c r="K15" s="27">
        <f t="shared" si="6"/>
        <v>-12.436959999999999</v>
      </c>
      <c r="L15" s="27">
        <f t="shared" si="6"/>
        <v>-12.436959999999999</v>
      </c>
      <c r="M15" s="27">
        <f t="shared" si="6"/>
        <v>-12.436959999999999</v>
      </c>
    </row>
    <row r="16" spans="1:18" ht="16" thickBot="1" x14ac:dyDescent="0.6">
      <c r="H16" s="71" t="s">
        <v>18</v>
      </c>
      <c r="I16" s="72">
        <f>I15/I12</f>
        <v>-0.49747839999999999</v>
      </c>
      <c r="J16" s="72">
        <f t="shared" ref="J16:M16" si="7">J15/J12</f>
        <v>-0.49747839999999999</v>
      </c>
      <c r="K16" s="72">
        <f t="shared" si="7"/>
        <v>-0.49747839999999999</v>
      </c>
      <c r="L16" s="72">
        <f t="shared" si="7"/>
        <v>-0.49747839999999999</v>
      </c>
      <c r="M16" s="72">
        <f t="shared" si="7"/>
        <v>-0.49747839999999999</v>
      </c>
      <c r="P16"/>
      <c r="Q16"/>
      <c r="R16"/>
    </row>
    <row r="17" spans="8:25" ht="18.350000000000001" thickBot="1" x14ac:dyDescent="0.65">
      <c r="H17" s="163" t="s">
        <v>0</v>
      </c>
      <c r="I17" s="164"/>
      <c r="J17" s="164"/>
      <c r="K17" s="164"/>
      <c r="L17" s="164"/>
      <c r="M17" s="165"/>
      <c r="O17"/>
      <c r="P17"/>
      <c r="Q17"/>
      <c r="R17"/>
      <c r="S17"/>
      <c r="T17"/>
      <c r="U17"/>
      <c r="V17"/>
      <c r="W17"/>
      <c r="X17"/>
      <c r="Y17"/>
    </row>
    <row r="18" spans="8:25" ht="15.7" x14ac:dyDescent="0.55000000000000004">
      <c r="H18" s="73" t="s">
        <v>3</v>
      </c>
      <c r="I18" s="62">
        <v>25</v>
      </c>
      <c r="J18" s="62">
        <v>25</v>
      </c>
      <c r="K18" s="62">
        <v>25</v>
      </c>
      <c r="L18" s="62">
        <v>25</v>
      </c>
      <c r="M18" s="62">
        <v>25</v>
      </c>
      <c r="O18"/>
      <c r="P18"/>
      <c r="Q18"/>
      <c r="R18"/>
      <c r="S18"/>
      <c r="T18"/>
      <c r="U18"/>
      <c r="V18"/>
      <c r="W18"/>
      <c r="X18"/>
      <c r="Y18"/>
    </row>
    <row r="19" spans="8:25" ht="15.7" x14ac:dyDescent="0.55000000000000004">
      <c r="H19" s="65" t="s">
        <v>13</v>
      </c>
      <c r="I19" s="63">
        <v>0.438</v>
      </c>
      <c r="J19" s="63">
        <v>0.438</v>
      </c>
      <c r="K19" s="63">
        <v>0.438</v>
      </c>
      <c r="L19" s="63">
        <v>0.438</v>
      </c>
      <c r="M19" s="63">
        <v>0.438</v>
      </c>
      <c r="O19"/>
      <c r="P19"/>
      <c r="Q19"/>
      <c r="R19"/>
      <c r="S19"/>
      <c r="T19"/>
      <c r="U19"/>
      <c r="V19"/>
      <c r="W19"/>
      <c r="X19"/>
      <c r="Y19"/>
    </row>
    <row r="20" spans="8:25" ht="15.7" x14ac:dyDescent="0.55000000000000004">
      <c r="H20" s="69" t="s">
        <v>16</v>
      </c>
      <c r="I20" s="74">
        <f>I19*PORTFOLIO!$D$6</f>
        <v>17.142969600000001</v>
      </c>
      <c r="J20" s="74">
        <f>J19*PORTFOLIO!$D$6</f>
        <v>17.142969600000001</v>
      </c>
      <c r="K20" s="74">
        <f>K19*PORTFOLIO!$D$6</f>
        <v>17.142969600000001</v>
      </c>
      <c r="L20" s="74">
        <f>L19*PORTFOLIO!$D$6</f>
        <v>17.142969600000001</v>
      </c>
      <c r="M20" s="74">
        <f>M19*PORTFOLIO!$D$6</f>
        <v>17.142969600000001</v>
      </c>
      <c r="O20"/>
      <c r="P20"/>
      <c r="Q20"/>
      <c r="R20"/>
      <c r="S20"/>
      <c r="T20"/>
      <c r="U20"/>
      <c r="V20"/>
      <c r="W20"/>
      <c r="X20"/>
      <c r="Y20"/>
    </row>
    <row r="21" spans="8:25" ht="15.7" x14ac:dyDescent="0.55000000000000004">
      <c r="H21" s="70" t="s">
        <v>17</v>
      </c>
      <c r="I21" s="75">
        <f>I20-I18</f>
        <v>-7.8570303999999993</v>
      </c>
      <c r="J21" s="75">
        <f t="shared" ref="J21:M21" si="8">J20-J18</f>
        <v>-7.8570303999999993</v>
      </c>
      <c r="K21" s="75">
        <f t="shared" si="8"/>
        <v>-7.8570303999999993</v>
      </c>
      <c r="L21" s="75">
        <f t="shared" si="8"/>
        <v>-7.8570303999999993</v>
      </c>
      <c r="M21" s="75">
        <f t="shared" si="8"/>
        <v>-7.8570303999999993</v>
      </c>
      <c r="O21"/>
      <c r="P21"/>
      <c r="Q21"/>
      <c r="R21"/>
      <c r="S21"/>
      <c r="T21"/>
      <c r="U21"/>
      <c r="V21"/>
      <c r="W21"/>
      <c r="X21"/>
      <c r="Y21"/>
    </row>
    <row r="22" spans="8:25" ht="16" thickBot="1" x14ac:dyDescent="0.6">
      <c r="H22" s="71" t="s">
        <v>18</v>
      </c>
      <c r="I22" s="72">
        <f>I21/I18</f>
        <v>-0.31428121599999997</v>
      </c>
      <c r="J22" s="72">
        <f t="shared" ref="J22:M22" si="9">J21/J18</f>
        <v>-0.31428121599999997</v>
      </c>
      <c r="K22" s="72">
        <f t="shared" si="9"/>
        <v>-0.31428121599999997</v>
      </c>
      <c r="L22" s="72">
        <f t="shared" si="9"/>
        <v>-0.31428121599999997</v>
      </c>
      <c r="M22" s="72">
        <f t="shared" si="9"/>
        <v>-0.31428121599999997</v>
      </c>
      <c r="O22"/>
      <c r="P22"/>
      <c r="Q22"/>
      <c r="R22"/>
      <c r="S22"/>
      <c r="T22"/>
      <c r="U22"/>
      <c r="V22"/>
      <c r="W22"/>
      <c r="X22"/>
      <c r="Y22"/>
    </row>
    <row r="23" spans="8:25" ht="14.7" thickBot="1" x14ac:dyDescent="0.55000000000000004">
      <c r="O23"/>
      <c r="P23"/>
      <c r="Q23"/>
      <c r="R23"/>
      <c r="S23"/>
      <c r="T23"/>
      <c r="U23"/>
      <c r="V23"/>
      <c r="W23"/>
      <c r="X23"/>
      <c r="Y23"/>
    </row>
    <row r="24" spans="8:25" ht="15.7" x14ac:dyDescent="0.55000000000000004">
      <c r="H24" s="76" t="s">
        <v>47</v>
      </c>
      <c r="I24" s="18">
        <f>I9+I15+I21</f>
        <v>-22.148070400000002</v>
      </c>
      <c r="J24" s="18">
        <f>J9+J15+J21</f>
        <v>-22.148070400000002</v>
      </c>
      <c r="K24" s="18">
        <f t="shared" ref="K24:M24" si="10">K9+K15+K21</f>
        <v>-22.148070400000002</v>
      </c>
      <c r="L24" s="18">
        <f t="shared" si="10"/>
        <v>-22.148070400000002</v>
      </c>
      <c r="M24" s="18">
        <f t="shared" si="10"/>
        <v>-22.148070400000002</v>
      </c>
      <c r="O24"/>
      <c r="P24"/>
      <c r="Q24"/>
      <c r="R24"/>
      <c r="S24"/>
      <c r="T24"/>
      <c r="U24"/>
      <c r="V24"/>
      <c r="W24"/>
      <c r="X24"/>
      <c r="Y24"/>
    </row>
    <row r="25" spans="8:25" ht="16" thickBot="1" x14ac:dyDescent="0.6">
      <c r="H25" s="77" t="s">
        <v>48</v>
      </c>
      <c r="I25" s="72">
        <f>I24/(I18+I12+I6)</f>
        <v>-0.22148070400000003</v>
      </c>
      <c r="J25" s="72">
        <f t="shared" ref="J25:M25" si="11">J24/(J18+J12+J6)</f>
        <v>-0.22148070400000003</v>
      </c>
      <c r="K25" s="72">
        <f t="shared" si="11"/>
        <v>-0.22148070400000003</v>
      </c>
      <c r="L25" s="72">
        <f t="shared" si="11"/>
        <v>-0.22148070400000003</v>
      </c>
      <c r="M25" s="72">
        <f t="shared" si="11"/>
        <v>-0.22148070400000003</v>
      </c>
      <c r="O25"/>
      <c r="P25"/>
      <c r="Q25"/>
      <c r="R25"/>
      <c r="S25"/>
      <c r="T25"/>
      <c r="U25"/>
      <c r="V25"/>
      <c r="W25"/>
      <c r="X25"/>
      <c r="Y25"/>
    </row>
    <row r="26" spans="8:25" x14ac:dyDescent="0.5">
      <c r="O26"/>
      <c r="P26"/>
      <c r="Q26"/>
      <c r="R26"/>
      <c r="S26"/>
      <c r="T26"/>
      <c r="U26"/>
      <c r="V26"/>
      <c r="W26"/>
      <c r="X26"/>
      <c r="Y26"/>
    </row>
    <row r="27" spans="8:25" x14ac:dyDescent="0.5">
      <c r="O27"/>
      <c r="P27"/>
      <c r="Q27"/>
      <c r="R27"/>
      <c r="S27"/>
      <c r="T27"/>
      <c r="U27"/>
      <c r="V27"/>
      <c r="W27"/>
      <c r="X27"/>
      <c r="Y27"/>
    </row>
    <row r="28" spans="8:25" x14ac:dyDescent="0.5">
      <c r="O28"/>
      <c r="P28"/>
      <c r="Q28"/>
      <c r="R28"/>
      <c r="S28"/>
      <c r="T28"/>
      <c r="U28"/>
      <c r="V28"/>
      <c r="W28"/>
      <c r="X28"/>
      <c r="Y28"/>
    </row>
    <row r="29" spans="8:25" x14ac:dyDescent="0.5">
      <c r="O29"/>
      <c r="P29"/>
      <c r="Q29"/>
      <c r="R29"/>
      <c r="S29"/>
      <c r="T29"/>
      <c r="U29"/>
      <c r="V29"/>
      <c r="W29"/>
      <c r="X29"/>
      <c r="Y29"/>
    </row>
    <row r="30" spans="8:25" x14ac:dyDescent="0.5">
      <c r="O30"/>
      <c r="P30"/>
      <c r="Q30"/>
      <c r="R30"/>
      <c r="S30"/>
      <c r="T30"/>
      <c r="U30"/>
      <c r="V30"/>
      <c r="W30"/>
      <c r="X30"/>
      <c r="Y30"/>
    </row>
    <row r="31" spans="8:25" x14ac:dyDescent="0.5">
      <c r="O31"/>
      <c r="P31"/>
      <c r="Q31"/>
      <c r="R31"/>
      <c r="S31"/>
      <c r="T31"/>
      <c r="U31"/>
      <c r="V31"/>
      <c r="W31"/>
      <c r="X31"/>
      <c r="Y31"/>
    </row>
    <row r="32" spans="8:25" x14ac:dyDescent="0.5">
      <c r="O32"/>
      <c r="P32"/>
      <c r="Q32"/>
      <c r="R32"/>
      <c r="S32"/>
      <c r="T32"/>
      <c r="U32"/>
      <c r="V32"/>
      <c r="W32"/>
      <c r="X32"/>
      <c r="Y32"/>
    </row>
    <row r="33" spans="15:25" x14ac:dyDescent="0.5">
      <c r="O33"/>
      <c r="P33"/>
      <c r="Q33"/>
      <c r="R33"/>
      <c r="S33"/>
      <c r="T33"/>
      <c r="U33"/>
      <c r="V33"/>
      <c r="W33"/>
      <c r="X33"/>
      <c r="Y33"/>
    </row>
    <row r="34" spans="15:25" x14ac:dyDescent="0.5">
      <c r="O34"/>
      <c r="P34"/>
      <c r="Q34"/>
      <c r="R34"/>
      <c r="S34"/>
      <c r="T34"/>
      <c r="U34"/>
      <c r="V34"/>
      <c r="W34"/>
      <c r="X34"/>
      <c r="Y34"/>
    </row>
    <row r="35" spans="15:25" x14ac:dyDescent="0.5">
      <c r="O35"/>
      <c r="Q35"/>
      <c r="R35"/>
      <c r="S35"/>
    </row>
    <row r="36" spans="15:25" x14ac:dyDescent="0.5">
      <c r="O36"/>
      <c r="Q36"/>
      <c r="R36"/>
      <c r="S36"/>
    </row>
    <row r="37" spans="15:25" x14ac:dyDescent="0.5">
      <c r="O37"/>
    </row>
    <row r="38" spans="15:25" x14ac:dyDescent="0.5">
      <c r="O38"/>
    </row>
    <row r="39" spans="15:25" x14ac:dyDescent="0.5">
      <c r="O39"/>
    </row>
    <row r="40" spans="15:25" x14ac:dyDescent="0.5">
      <c r="O40"/>
    </row>
    <row r="41" spans="15:25" x14ac:dyDescent="0.5">
      <c r="O41"/>
    </row>
    <row r="42" spans="15:25" x14ac:dyDescent="0.5">
      <c r="O42"/>
    </row>
    <row r="43" spans="15:25" x14ac:dyDescent="0.5">
      <c r="O43"/>
    </row>
    <row r="44" spans="15:25" x14ac:dyDescent="0.5">
      <c r="O44"/>
    </row>
    <row r="45" spans="15:25" x14ac:dyDescent="0.5">
      <c r="O45"/>
    </row>
    <row r="46" spans="15:25" x14ac:dyDescent="0.5">
      <c r="O46"/>
    </row>
    <row r="47" spans="15:25" x14ac:dyDescent="0.5">
      <c r="O47"/>
    </row>
    <row r="48" spans="15:25" x14ac:dyDescent="0.5">
      <c r="O48"/>
    </row>
    <row r="49" spans="15:15" x14ac:dyDescent="0.5">
      <c r="O49"/>
    </row>
    <row r="50" spans="15:15" x14ac:dyDescent="0.5">
      <c r="O50"/>
    </row>
    <row r="51" spans="15:15" x14ac:dyDescent="0.5">
      <c r="O51"/>
    </row>
    <row r="52" spans="15:15" x14ac:dyDescent="0.5">
      <c r="O52"/>
    </row>
    <row r="53" spans="15:15" x14ac:dyDescent="0.5">
      <c r="O53"/>
    </row>
    <row r="54" spans="15:15" x14ac:dyDescent="0.5">
      <c r="O54"/>
    </row>
  </sheetData>
  <mergeCells count="8">
    <mergeCell ref="D1:E1"/>
    <mergeCell ref="B1:C1"/>
    <mergeCell ref="H11:M11"/>
    <mergeCell ref="H17:M17"/>
    <mergeCell ref="A2:F2"/>
    <mergeCell ref="H2:M2"/>
    <mergeCell ref="A5:F5"/>
    <mergeCell ref="H5:M5"/>
  </mergeCells>
  <conditionalFormatting sqref="B9:F10 I15:M16 I21:M22 I24:M25 I9:M10">
    <cfRule type="cellIs" dxfId="5" priority="4" operator="lessThan">
      <formula>0</formula>
    </cfRule>
  </conditionalFormatting>
  <conditionalFormatting sqref="B9:F10 I9:M10 I15:M16 I21:M22 I24:M25">
    <cfRule type="iconSet" priority="1">
      <iconSet iconSet="3Arrows">
        <cfvo type="percent" val="0"/>
        <cfvo type="num" val="0"/>
        <cfvo type="num" val="0" gte="0"/>
      </iconSet>
    </cfRule>
    <cfRule type="cellIs" dxfId="4" priority="2" operator="equal">
      <formula>0</formula>
    </cfRule>
    <cfRule type="cellIs" dxfId="3" priority="3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ispBS">
                <anchor moveWithCells="1" sizeWithCells="1">
                  <from>
                    <xdr:col>13</xdr:col>
                    <xdr:colOff>740833</xdr:colOff>
                    <xdr:row>2</xdr:row>
                    <xdr:rowOff>8467</xdr:rowOff>
                  </from>
                  <to>
                    <xdr:col>15</xdr:col>
                    <xdr:colOff>364067</xdr:colOff>
                    <xdr:row>4</xdr:row>
                    <xdr:rowOff>67733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outon 2">
              <controlPr defaultSize="0" print="0" autoFill="0" autoPict="0" macro="[0]!LaunchChrono">
                <anchor moveWithCells="1" sizeWithCells="1">
                  <from>
                    <xdr:col>14</xdr:col>
                    <xdr:colOff>550333</xdr:colOff>
                    <xdr:row>0</xdr:row>
                    <xdr:rowOff>169333</xdr:rowOff>
                  </from>
                  <to>
                    <xdr:col>14</xdr:col>
                    <xdr:colOff>1202267</xdr:colOff>
                    <xdr:row>1</xdr:row>
                    <xdr:rowOff>105833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outon 3">
              <controlPr defaultSize="0" print="0" autoFill="0" autoPict="0" macro="[0]!ChronoSettings">
                <anchor moveWithCells="1" sizeWithCells="1">
                  <from>
                    <xdr:col>13</xdr:col>
                    <xdr:colOff>618067</xdr:colOff>
                    <xdr:row>0</xdr:row>
                    <xdr:rowOff>169333</xdr:rowOff>
                  </from>
                  <to>
                    <xdr:col>14</xdr:col>
                    <xdr:colOff>478367</xdr:colOff>
                    <xdr:row>1</xdr:row>
                    <xdr:rowOff>105833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outon 4">
              <controlPr defaultSize="0" print="0" autoFill="0" autoPict="0" macro="[0]!PauseChrono">
                <anchor moveWithCells="1" sizeWithCells="1">
                  <from>
                    <xdr:col>14</xdr:col>
                    <xdr:colOff>1265767</xdr:colOff>
                    <xdr:row>0</xdr:row>
                    <xdr:rowOff>169333</xdr:rowOff>
                  </from>
                  <to>
                    <xdr:col>15</xdr:col>
                    <xdr:colOff>579967</xdr:colOff>
                    <xdr:row>1</xdr:row>
                    <xdr:rowOff>105833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60B5-7EA6-4C2E-892E-1E1E6D0591BE}">
  <sheetPr codeName="Feuil3"/>
  <dimension ref="A1:N23"/>
  <sheetViews>
    <sheetView showGridLines="0" showRowColHeaders="0" workbookViewId="0">
      <selection activeCell="O10" sqref="O10"/>
    </sheetView>
  </sheetViews>
  <sheetFormatPr defaultColWidth="10.8203125" defaultRowHeight="14.35" x14ac:dyDescent="0.5"/>
  <cols>
    <col min="1" max="1" width="22.3515625" bestFit="1" customWidth="1"/>
  </cols>
  <sheetData>
    <row r="1" spans="1:13" ht="16" thickBot="1" x14ac:dyDescent="0.6">
      <c r="A1" s="1" t="s">
        <v>21</v>
      </c>
      <c r="B1" s="162">
        <f>PORTFOLIO!F1</f>
        <v>43473.600937499999</v>
      </c>
      <c r="C1" s="169"/>
    </row>
    <row r="2" spans="1:13" ht="18.350000000000001" thickBot="1" x14ac:dyDescent="0.65">
      <c r="A2" s="158" t="s">
        <v>28</v>
      </c>
      <c r="B2" s="159"/>
      <c r="C2" s="159"/>
      <c r="D2" s="159"/>
      <c r="E2" s="159"/>
      <c r="F2" s="160"/>
      <c r="H2" s="158" t="s">
        <v>49</v>
      </c>
      <c r="I2" s="159"/>
      <c r="J2" s="159"/>
      <c r="K2" s="159"/>
      <c r="L2" s="159"/>
      <c r="M2" s="160"/>
    </row>
    <row r="3" spans="1:13" ht="16" thickBot="1" x14ac:dyDescent="0.6">
      <c r="A3" s="59" t="s">
        <v>22</v>
      </c>
      <c r="B3" s="60" t="s">
        <v>23</v>
      </c>
      <c r="C3" s="60" t="s">
        <v>24</v>
      </c>
      <c r="D3" s="60" t="s">
        <v>25</v>
      </c>
      <c r="E3" s="60" t="s">
        <v>26</v>
      </c>
      <c r="F3" s="60" t="s">
        <v>27</v>
      </c>
      <c r="H3" s="59" t="s">
        <v>22</v>
      </c>
      <c r="I3" s="60" t="s">
        <v>23</v>
      </c>
      <c r="J3" s="60" t="s">
        <v>24</v>
      </c>
      <c r="K3" s="60" t="s">
        <v>25</v>
      </c>
      <c r="L3" s="60" t="s">
        <v>26</v>
      </c>
      <c r="M3" s="60" t="s">
        <v>27</v>
      </c>
    </row>
    <row r="4" spans="1:13" ht="14.7" thickBot="1" x14ac:dyDescent="0.55000000000000004">
      <c r="A4" s="79"/>
      <c r="B4" s="80"/>
      <c r="C4" s="80"/>
      <c r="D4" s="80"/>
      <c r="E4" s="80"/>
      <c r="F4" s="81"/>
      <c r="H4" s="79"/>
      <c r="I4" s="80"/>
      <c r="J4" s="80"/>
      <c r="K4" s="80"/>
      <c r="L4" s="80"/>
      <c r="M4" s="81"/>
    </row>
    <row r="5" spans="1:13" ht="18.350000000000001" thickBot="1" x14ac:dyDescent="0.65">
      <c r="A5" s="158" t="s">
        <v>50</v>
      </c>
      <c r="B5" s="159"/>
      <c r="C5" s="159"/>
      <c r="D5" s="159"/>
      <c r="E5" s="159"/>
      <c r="F5" s="160"/>
      <c r="H5" s="163" t="s">
        <v>2</v>
      </c>
      <c r="I5" s="164"/>
      <c r="J5" s="164"/>
      <c r="K5" s="164"/>
      <c r="L5" s="164"/>
      <c r="M5" s="165"/>
    </row>
    <row r="6" spans="1:13" ht="17" thickBot="1" x14ac:dyDescent="0.6">
      <c r="A6" s="166" t="s">
        <v>2</v>
      </c>
      <c r="B6" s="167"/>
      <c r="C6" s="167"/>
      <c r="D6" s="167"/>
      <c r="E6" s="167"/>
      <c r="F6" s="168"/>
      <c r="H6" s="82" t="s">
        <v>17</v>
      </c>
      <c r="I6" s="18"/>
      <c r="J6" s="18"/>
      <c r="K6" s="18"/>
      <c r="L6" s="18"/>
      <c r="M6" s="18"/>
    </row>
    <row r="7" spans="1:13" ht="16" thickBot="1" x14ac:dyDescent="0.6">
      <c r="A7" s="61" t="s">
        <v>3</v>
      </c>
      <c r="B7" s="62">
        <v>50</v>
      </c>
      <c r="C7" s="62">
        <v>50</v>
      </c>
      <c r="D7" s="62">
        <v>50</v>
      </c>
      <c r="E7" s="62">
        <v>50</v>
      </c>
      <c r="F7" s="62">
        <v>50</v>
      </c>
      <c r="H7" s="71" t="s">
        <v>18</v>
      </c>
      <c r="I7" s="72">
        <f>I6/B7</f>
        <v>0</v>
      </c>
      <c r="J7" s="72">
        <f t="shared" ref="J7:M7" si="0">J6/C7</f>
        <v>0</v>
      </c>
      <c r="K7" s="72">
        <f t="shared" si="0"/>
        <v>0</v>
      </c>
      <c r="L7" s="72">
        <f t="shared" si="0"/>
        <v>0</v>
      </c>
      <c r="M7" s="72">
        <f t="shared" si="0"/>
        <v>0</v>
      </c>
    </row>
    <row r="8" spans="1:13" ht="18.350000000000001" thickBot="1" x14ac:dyDescent="0.65">
      <c r="A8" s="83" t="s">
        <v>13</v>
      </c>
      <c r="B8" s="83">
        <v>1.2E-2</v>
      </c>
      <c r="C8" s="83">
        <v>1.2E-2</v>
      </c>
      <c r="D8" s="83">
        <v>1.2E-2</v>
      </c>
      <c r="E8" s="83">
        <v>1.2E-2</v>
      </c>
      <c r="F8" s="83">
        <v>1.2E-2</v>
      </c>
      <c r="H8" s="163" t="s">
        <v>1</v>
      </c>
      <c r="I8" s="164"/>
      <c r="J8" s="164"/>
      <c r="K8" s="164"/>
      <c r="L8" s="164"/>
      <c r="M8" s="165"/>
    </row>
    <row r="9" spans="1:13" ht="17" thickBot="1" x14ac:dyDescent="0.6">
      <c r="A9" s="166" t="s">
        <v>1</v>
      </c>
      <c r="B9" s="167"/>
      <c r="C9" s="167"/>
      <c r="D9" s="167"/>
      <c r="E9" s="167"/>
      <c r="F9" s="168"/>
      <c r="H9" s="82" t="s">
        <v>17</v>
      </c>
      <c r="I9" s="18"/>
      <c r="J9" s="18"/>
      <c r="K9" s="18"/>
      <c r="L9" s="18"/>
      <c r="M9" s="18"/>
    </row>
    <row r="10" spans="1:13" ht="16" thickBot="1" x14ac:dyDescent="0.6">
      <c r="A10" s="61" t="s">
        <v>3</v>
      </c>
      <c r="B10" s="62">
        <v>25</v>
      </c>
      <c r="C10" s="62">
        <v>25</v>
      </c>
      <c r="D10" s="62">
        <v>25</v>
      </c>
      <c r="E10" s="62">
        <v>25</v>
      </c>
      <c r="F10" s="62">
        <v>25</v>
      </c>
      <c r="H10" s="71" t="s">
        <v>18</v>
      </c>
      <c r="I10" s="72">
        <f>I9/B10</f>
        <v>0</v>
      </c>
      <c r="J10" s="72">
        <f t="shared" ref="J10:M10" si="1">J9/C10</f>
        <v>0</v>
      </c>
      <c r="K10" s="72">
        <f t="shared" si="1"/>
        <v>0</v>
      </c>
      <c r="L10" s="72">
        <f t="shared" si="1"/>
        <v>0</v>
      </c>
      <c r="M10" s="72">
        <f t="shared" si="1"/>
        <v>0</v>
      </c>
    </row>
    <row r="11" spans="1:13" ht="18.350000000000001" thickBot="1" x14ac:dyDescent="0.65">
      <c r="A11" s="83" t="s">
        <v>13</v>
      </c>
      <c r="B11" s="83">
        <v>8.4000000000000005E-2</v>
      </c>
      <c r="C11" s="83">
        <v>8.4000000000000005E-2</v>
      </c>
      <c r="D11" s="83">
        <v>8.4000000000000005E-2</v>
      </c>
      <c r="E11" s="83">
        <v>8.4000000000000005E-2</v>
      </c>
      <c r="F11" s="83">
        <v>8.4000000000000005E-2</v>
      </c>
      <c r="H11" s="163" t="s">
        <v>0</v>
      </c>
      <c r="I11" s="164"/>
      <c r="J11" s="164"/>
      <c r="K11" s="164"/>
      <c r="L11" s="164"/>
      <c r="M11" s="165"/>
    </row>
    <row r="12" spans="1:13" ht="17" thickBot="1" x14ac:dyDescent="0.6">
      <c r="A12" s="166" t="s">
        <v>0</v>
      </c>
      <c r="B12" s="167"/>
      <c r="C12" s="167"/>
      <c r="D12" s="167"/>
      <c r="E12" s="167"/>
      <c r="F12" s="168"/>
      <c r="H12" s="82" t="s">
        <v>17</v>
      </c>
      <c r="I12" s="18"/>
      <c r="J12" s="18"/>
      <c r="K12" s="18"/>
      <c r="L12" s="18"/>
      <c r="M12" s="18"/>
    </row>
    <row r="13" spans="1:13" ht="16" thickBot="1" x14ac:dyDescent="0.6">
      <c r="A13" s="61" t="s">
        <v>3</v>
      </c>
      <c r="B13" s="62">
        <v>25</v>
      </c>
      <c r="C13" s="62">
        <v>25</v>
      </c>
      <c r="D13" s="62">
        <v>25</v>
      </c>
      <c r="E13" s="62">
        <v>25</v>
      </c>
      <c r="F13" s="62">
        <v>25</v>
      </c>
      <c r="H13" s="71" t="s">
        <v>18</v>
      </c>
      <c r="I13" s="72">
        <f>I12/B13</f>
        <v>0</v>
      </c>
      <c r="J13" s="72">
        <f t="shared" ref="J13:M13" si="2">J12/C13</f>
        <v>0</v>
      </c>
      <c r="K13" s="72">
        <f t="shared" si="2"/>
        <v>0</v>
      </c>
      <c r="L13" s="72">
        <f t="shared" si="2"/>
        <v>0</v>
      </c>
      <c r="M13" s="72">
        <f t="shared" si="2"/>
        <v>0</v>
      </c>
    </row>
    <row r="14" spans="1:13" ht="16" thickBot="1" x14ac:dyDescent="0.6">
      <c r="A14" s="83" t="s">
        <v>13</v>
      </c>
      <c r="B14" s="83">
        <v>0.438</v>
      </c>
      <c r="C14" s="83">
        <v>0.438</v>
      </c>
      <c r="D14" s="83">
        <v>0.438</v>
      </c>
      <c r="E14" s="83">
        <v>0.438</v>
      </c>
      <c r="F14" s="83">
        <v>0.438</v>
      </c>
    </row>
    <row r="15" spans="1:13" ht="14.7" thickBot="1" x14ac:dyDescent="0.55000000000000004">
      <c r="A15" s="79"/>
      <c r="B15" s="80"/>
      <c r="C15" s="80"/>
      <c r="D15" s="80"/>
      <c r="E15" s="80"/>
      <c r="F15" s="81"/>
    </row>
    <row r="16" spans="1:13" ht="16" thickBot="1" x14ac:dyDescent="0.6">
      <c r="A16" s="59" t="s">
        <v>51</v>
      </c>
      <c r="B16" s="84">
        <f>SUM(B13,B10,B7)</f>
        <v>100</v>
      </c>
      <c r="C16" s="84">
        <f t="shared" ref="C16:F16" si="3">SUM(C13,C10,C7)</f>
        <v>100</v>
      </c>
      <c r="D16" s="84">
        <f t="shared" si="3"/>
        <v>100</v>
      </c>
      <c r="E16" s="84">
        <f t="shared" si="3"/>
        <v>100</v>
      </c>
      <c r="F16" s="84">
        <f t="shared" si="3"/>
        <v>100</v>
      </c>
    </row>
    <row r="18" spans="7:14" x14ac:dyDescent="0.5">
      <c r="G18" s="87"/>
      <c r="H18" s="87"/>
      <c r="I18" s="87"/>
      <c r="J18" s="87"/>
      <c r="K18" s="87"/>
      <c r="L18" s="87"/>
      <c r="M18" s="87"/>
      <c r="N18" s="87"/>
    </row>
    <row r="19" spans="7:14" ht="15.7" x14ac:dyDescent="0.55000000000000004">
      <c r="G19" s="87"/>
      <c r="H19" s="87"/>
      <c r="I19" s="88" t="s">
        <v>23</v>
      </c>
      <c r="J19" s="88" t="s">
        <v>24</v>
      </c>
      <c r="K19" s="88" t="s">
        <v>25</v>
      </c>
      <c r="L19" s="88" t="s">
        <v>26</v>
      </c>
      <c r="M19" s="88" t="s">
        <v>27</v>
      </c>
      <c r="N19" s="87"/>
    </row>
    <row r="20" spans="7:14" x14ac:dyDescent="0.5">
      <c r="G20" s="87"/>
      <c r="H20" s="87" t="s">
        <v>2</v>
      </c>
      <c r="I20" s="89">
        <f>I6</f>
        <v>0</v>
      </c>
      <c r="J20" s="89">
        <f t="shared" ref="J20:M20" si="4">J6</f>
        <v>0</v>
      </c>
      <c r="K20" s="89">
        <f t="shared" si="4"/>
        <v>0</v>
      </c>
      <c r="L20" s="89">
        <f t="shared" si="4"/>
        <v>0</v>
      </c>
      <c r="M20" s="89">
        <f t="shared" si="4"/>
        <v>0</v>
      </c>
      <c r="N20" s="87"/>
    </row>
    <row r="21" spans="7:14" x14ac:dyDescent="0.5">
      <c r="G21" s="87"/>
      <c r="H21" s="87" t="s">
        <v>1</v>
      </c>
      <c r="I21" s="89">
        <f>I9</f>
        <v>0</v>
      </c>
      <c r="J21" s="89">
        <f t="shared" ref="J21:M21" si="5">J9</f>
        <v>0</v>
      </c>
      <c r="K21" s="89">
        <f t="shared" si="5"/>
        <v>0</v>
      </c>
      <c r="L21" s="89">
        <f t="shared" si="5"/>
        <v>0</v>
      </c>
      <c r="M21" s="89">
        <f t="shared" si="5"/>
        <v>0</v>
      </c>
      <c r="N21" s="87"/>
    </row>
    <row r="22" spans="7:14" x14ac:dyDescent="0.5">
      <c r="G22" s="87"/>
      <c r="H22" s="87" t="s">
        <v>0</v>
      </c>
      <c r="I22" s="89">
        <f>I12</f>
        <v>0</v>
      </c>
      <c r="J22" s="89">
        <f t="shared" ref="J22:M22" si="6">J12</f>
        <v>0</v>
      </c>
      <c r="K22" s="89">
        <f t="shared" si="6"/>
        <v>0</v>
      </c>
      <c r="L22" s="89">
        <f t="shared" si="6"/>
        <v>0</v>
      </c>
      <c r="M22" s="89">
        <f t="shared" si="6"/>
        <v>0</v>
      </c>
      <c r="N22" s="87"/>
    </row>
    <row r="23" spans="7:14" x14ac:dyDescent="0.5">
      <c r="G23" s="87"/>
      <c r="H23" s="87"/>
      <c r="I23" s="89"/>
      <c r="J23" s="89"/>
      <c r="K23" s="89"/>
      <c r="L23" s="89"/>
      <c r="M23" s="89"/>
      <c r="N23" s="87"/>
    </row>
  </sheetData>
  <mergeCells count="10">
    <mergeCell ref="A9:F9"/>
    <mergeCell ref="H11:M11"/>
    <mergeCell ref="A12:F12"/>
    <mergeCell ref="B1:C1"/>
    <mergeCell ref="A2:F2"/>
    <mergeCell ref="H2:M2"/>
    <mergeCell ref="A5:F5"/>
    <mergeCell ref="H5:M5"/>
    <mergeCell ref="A6:F6"/>
    <mergeCell ref="H8:M8"/>
  </mergeCells>
  <conditionalFormatting sqref="I9:M10 I6:M7 I12:M13">
    <cfRule type="cellIs" dxfId="2" priority="1" operator="lessThan">
      <formula>0</formula>
    </cfRule>
    <cfRule type="cellIs" dxfId="1" priority="2" operator="equal">
      <formula>0</formula>
    </cfRule>
    <cfRule type="cellIs" dxfId="0" priority="3" operator="greaterThan">
      <formula>0</formula>
    </cfRule>
    <cfRule type="iconSet" priority="4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DispBS">
                <anchor moveWithCells="1" sizeWithCells="1">
                  <from>
                    <xdr:col>13</xdr:col>
                    <xdr:colOff>465667</xdr:colOff>
                    <xdr:row>0</xdr:row>
                    <xdr:rowOff>182033</xdr:rowOff>
                  </from>
                  <to>
                    <xdr:col>15</xdr:col>
                    <xdr:colOff>639233</xdr:colOff>
                    <xdr:row>2</xdr:row>
                    <xdr:rowOff>198967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33FBF-21E5-4A50-86B4-AB6938B5DA48}">
  <sheetPr codeName="Feuil8"/>
  <dimension ref="A1:J28"/>
  <sheetViews>
    <sheetView showGridLines="0" showRowColHeaders="0" workbookViewId="0">
      <selection activeCell="E21" sqref="E21"/>
    </sheetView>
  </sheetViews>
  <sheetFormatPr defaultColWidth="11.52734375" defaultRowHeight="15.7" x14ac:dyDescent="0.55000000000000004"/>
  <cols>
    <col min="1" max="1" width="21.64453125" style="34" customWidth="1"/>
    <col min="2" max="2" width="16.52734375" style="34" customWidth="1"/>
    <col min="3" max="3" width="10.234375" style="34" customWidth="1"/>
    <col min="4" max="4" width="14.41015625" style="34" customWidth="1"/>
    <col min="5" max="5" width="14.87890625" style="34" customWidth="1"/>
    <col min="6" max="6" width="16.87890625" style="34" customWidth="1"/>
    <col min="7" max="7" width="15.87890625" style="34" customWidth="1"/>
    <col min="8" max="8" width="14.87890625" style="34" customWidth="1"/>
    <col min="9" max="9" width="15.64453125" style="34" customWidth="1"/>
    <col min="10" max="16384" width="11.52734375" style="34"/>
  </cols>
  <sheetData>
    <row r="1" spans="1:7" x14ac:dyDescent="0.55000000000000004">
      <c r="A1" s="31" t="s">
        <v>31</v>
      </c>
      <c r="B1" s="32">
        <v>2017</v>
      </c>
      <c r="C1" s="31" t="s">
        <v>32</v>
      </c>
      <c r="D1" s="33" t="s">
        <v>43</v>
      </c>
      <c r="E1" s="33"/>
    </row>
    <row r="2" spans="1:7" x14ac:dyDescent="0.55000000000000004">
      <c r="A2" s="31"/>
      <c r="B2" s="32"/>
      <c r="C2" s="31" t="s">
        <v>33</v>
      </c>
      <c r="D2" s="33">
        <v>0</v>
      </c>
    </row>
    <row r="3" spans="1:7" ht="16" thickBot="1" x14ac:dyDescent="0.6">
      <c r="G3" s="35"/>
    </row>
    <row r="4" spans="1:7" ht="16" thickBot="1" x14ac:dyDescent="0.6">
      <c r="A4" s="170" t="s">
        <v>42</v>
      </c>
      <c r="B4" s="171"/>
      <c r="C4" s="171"/>
      <c r="D4" s="172"/>
      <c r="E4" s="170" t="s">
        <v>34</v>
      </c>
      <c r="F4" s="171"/>
      <c r="G4" s="172"/>
    </row>
    <row r="5" spans="1:7" ht="16" thickBot="1" x14ac:dyDescent="0.6">
      <c r="A5" s="50" t="s">
        <v>35</v>
      </c>
      <c r="B5" s="51" t="s">
        <v>36</v>
      </c>
      <c r="C5" s="51" t="s">
        <v>37</v>
      </c>
      <c r="D5" s="37" t="s">
        <v>41</v>
      </c>
      <c r="E5" s="52" t="s">
        <v>38</v>
      </c>
      <c r="F5" s="36" t="s">
        <v>39</v>
      </c>
      <c r="G5" s="78" t="s">
        <v>40</v>
      </c>
    </row>
    <row r="10" spans="1:7" x14ac:dyDescent="0.55000000000000004">
      <c r="A10" s="38"/>
      <c r="B10" s="33"/>
      <c r="C10" s="33"/>
      <c r="D10" s="39"/>
      <c r="F10" s="40"/>
    </row>
    <row r="11" spans="1:7" x14ac:dyDescent="0.55000000000000004">
      <c r="A11" s="38"/>
      <c r="B11" s="33"/>
      <c r="C11" s="33"/>
      <c r="D11" s="39"/>
      <c r="F11" s="40"/>
    </row>
    <row r="12" spans="1:7" x14ac:dyDescent="0.55000000000000004">
      <c r="A12" s="38"/>
      <c r="B12" s="33"/>
      <c r="C12" s="33"/>
      <c r="D12" s="41"/>
      <c r="F12" s="42"/>
    </row>
    <row r="13" spans="1:7" x14ac:dyDescent="0.55000000000000004">
      <c r="A13" s="38"/>
      <c r="B13" s="33"/>
      <c r="C13" s="33"/>
      <c r="D13" s="39"/>
      <c r="F13" s="42"/>
    </row>
    <row r="14" spans="1:7" x14ac:dyDescent="0.55000000000000004">
      <c r="A14" s="38"/>
      <c r="B14" s="33"/>
      <c r="C14" s="33"/>
      <c r="D14" s="39"/>
      <c r="F14" s="40"/>
    </row>
    <row r="15" spans="1:7" x14ac:dyDescent="0.55000000000000004">
      <c r="A15" s="38"/>
      <c r="B15" s="33"/>
      <c r="C15" s="33"/>
      <c r="D15" s="39"/>
      <c r="F15" s="40"/>
    </row>
    <row r="16" spans="1:7" x14ac:dyDescent="0.55000000000000004">
      <c r="A16" s="38"/>
      <c r="B16" s="33"/>
      <c r="C16" s="33"/>
      <c r="D16" s="39"/>
      <c r="F16" s="43"/>
    </row>
    <row r="17" spans="1:10" x14ac:dyDescent="0.55000000000000004">
      <c r="A17" s="38"/>
      <c r="B17" s="33"/>
      <c r="C17" s="33"/>
      <c r="D17" s="39"/>
      <c r="F17" s="42"/>
    </row>
    <row r="18" spans="1:10" x14ac:dyDescent="0.55000000000000004">
      <c r="A18" s="38"/>
      <c r="B18" s="33"/>
      <c r="C18" s="33"/>
      <c r="D18" s="41"/>
      <c r="F18" s="40"/>
    </row>
    <row r="19" spans="1:10" x14ac:dyDescent="0.55000000000000004">
      <c r="A19" s="38"/>
      <c r="B19" s="33"/>
      <c r="C19" s="33"/>
      <c r="D19" s="39"/>
      <c r="F19" s="40"/>
    </row>
    <row r="20" spans="1:10" x14ac:dyDescent="0.55000000000000004">
      <c r="A20" s="38"/>
      <c r="B20" s="33"/>
      <c r="C20" s="33"/>
      <c r="D20" s="44"/>
      <c r="E20" s="45"/>
      <c r="F20" s="46"/>
      <c r="G20" s="35"/>
      <c r="H20" s="35"/>
      <c r="I20" s="35"/>
      <c r="J20" s="35"/>
    </row>
    <row r="21" spans="1:10" x14ac:dyDescent="0.55000000000000004">
      <c r="A21" s="38"/>
      <c r="C21" s="33"/>
      <c r="D21" s="47"/>
    </row>
    <row r="22" spans="1:10" x14ac:dyDescent="0.55000000000000004">
      <c r="A22" s="38"/>
      <c r="C22" s="33"/>
      <c r="D22" s="44"/>
    </row>
    <row r="23" spans="1:10" x14ac:dyDescent="0.55000000000000004">
      <c r="A23" s="38"/>
      <c r="C23" s="33"/>
      <c r="D23" s="44"/>
    </row>
    <row r="24" spans="1:10" x14ac:dyDescent="0.55000000000000004">
      <c r="A24" s="38"/>
      <c r="C24" s="33"/>
      <c r="D24" s="44"/>
    </row>
    <row r="25" spans="1:10" x14ac:dyDescent="0.55000000000000004">
      <c r="A25" s="38"/>
      <c r="C25" s="33"/>
      <c r="D25" s="48"/>
    </row>
    <row r="26" spans="1:10" x14ac:dyDescent="0.55000000000000004">
      <c r="A26" s="38"/>
      <c r="C26" s="33"/>
      <c r="D26" s="44"/>
    </row>
    <row r="27" spans="1:10" x14ac:dyDescent="0.55000000000000004">
      <c r="A27" s="38"/>
      <c r="C27" s="33"/>
      <c r="D27" s="44"/>
    </row>
    <row r="28" spans="1:10" x14ac:dyDescent="0.55000000000000004">
      <c r="A28" s="38"/>
      <c r="C28" s="33"/>
      <c r="D28" s="49"/>
    </row>
  </sheetData>
  <mergeCells count="2">
    <mergeCell ref="E4:G4"/>
    <mergeCell ref="A4:D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outon 2">
              <controlPr defaultSize="0" print="0" autoFill="0" autoPict="0" macro="[0]!DispBS">
                <anchor moveWithCells="1" sizeWithCells="1">
                  <from>
                    <xdr:col>7</xdr:col>
                    <xdr:colOff>448733</xdr:colOff>
                    <xdr:row>0</xdr:row>
                    <xdr:rowOff>182033</xdr:rowOff>
                  </from>
                  <to>
                    <xdr:col>9</xdr:col>
                    <xdr:colOff>114300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PORTFOLIO</vt:lpstr>
      <vt:lpstr>ASSET MANAGEMENT</vt:lpstr>
      <vt:lpstr>PROFIT &amp; LOSS</vt:lpstr>
      <vt:lpstr>TRANSACTION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Adrien BERMOND</dc:creator>
  <cp:lastModifiedBy>lorenzo bartolini</cp:lastModifiedBy>
  <dcterms:created xsi:type="dcterms:W3CDTF">2017-09-29T16:38:14Z</dcterms:created>
  <dcterms:modified xsi:type="dcterms:W3CDTF">2019-01-08T19:26:01Z</dcterms:modified>
</cp:coreProperties>
</file>